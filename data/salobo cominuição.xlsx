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000-onedrive ufmg\2 - IC\2025-Projeto IC\"/>
    </mc:Choice>
  </mc:AlternateContent>
  <xr:revisionPtr revIDLastSave="0" documentId="13_ncr:1_{0A73207A-9302-4CC9-80FD-5741B1393A32}" xr6:coauthVersionLast="47" xr6:coauthVersionMax="47" xr10:uidLastSave="{00000000-0000-0000-0000-000000000000}"/>
  <bookViews>
    <workbookView xWindow="-108" yWindow="-108" windowWidth="23256" windowHeight="12456" xr2:uid="{A6CBCBC0-9DB1-4893-B235-B4A3FDA7A577}"/>
  </bookViews>
  <sheets>
    <sheet name="Energia" sheetId="1" r:id="rId1"/>
  </sheets>
  <externalReferences>
    <externalReference r:id="rId2"/>
  </externalReferences>
  <definedNames>
    <definedName name="__adj__AD_Sum_Terms">#REF!</definedName>
    <definedName name="__adj__Al">#REF!</definedName>
    <definedName name="__adj__C_">#REF!</definedName>
    <definedName name="__adj__C_.Ln">#REF!</definedName>
    <definedName name="__adj__C_Graf">#REF!</definedName>
    <definedName name="__adj__Ca">#REF!</definedName>
    <definedName name="__adj__Cl">#REF!</definedName>
    <definedName name="__adj__CopyX">#REF!</definedName>
    <definedName name="__adj__CopyY">#REF!</definedName>
    <definedName name="__adj__CopyYhat">#REF!</definedName>
    <definedName name="__adj__Cu">#REF!</definedName>
    <definedName name="__adj__Cu_S">#REF!</definedName>
    <definedName name="__adj__E__kWh_t">#REF!</definedName>
    <definedName name="__adj__F">#REF!</definedName>
    <definedName name="__adj__Fe">#REF!</definedName>
    <definedName name="__adj__Hi95Range">#REF!</definedName>
    <definedName name="__adj__K">#REF!</definedName>
    <definedName name="__adj__Lo95Range">#REF!</definedName>
    <definedName name="__adj__Mg">#REF!</definedName>
    <definedName name="__adj__Mn">#REF!</definedName>
    <definedName name="__adj__Na">#REF!</definedName>
    <definedName name="__adj__NormQRange">#REF!</definedName>
    <definedName name="__adj__Obs">#REF!</definedName>
    <definedName name="__adj__One2n">#REF!</definedName>
    <definedName name="__adj__P">#REF!</definedName>
    <definedName name="__adj__ResidActCount">#REF!</definedName>
    <definedName name="__adj__ResidBins">#REF!</definedName>
    <definedName name="__adj__ResidCumActCount">#REF!</definedName>
    <definedName name="__adj__ResidCumExpCount">#REF!</definedName>
    <definedName name="__adj__ResidExpCount">#REF!</definedName>
    <definedName name="__adj__ResidQRange">#REF!</definedName>
    <definedName name="__adj__ResidsRange">#REF!</definedName>
    <definedName name="__adj__S">#REF!</definedName>
    <definedName name="__adj__S_Fe">#REF!</definedName>
    <definedName name="__adj__Sh">#REF!</definedName>
    <definedName name="__adj__Si">#REF!</definedName>
    <definedName name="__adj__StdResid">#REF!</definedName>
    <definedName name="__adj__Th">#REF!</definedName>
    <definedName name="__adj__U">#REF!</definedName>
    <definedName name="__adj__YHatRange">#REF!</definedName>
    <definedName name="__nSelect_" hidden="1">0</definedName>
    <definedName name="A">#REF!</definedName>
    <definedName name="Al">#REF!</definedName>
    <definedName name="Al.Exp">#REF!</definedName>
    <definedName name="Axb">#REF!</definedName>
    <definedName name="BWI">#REF!</definedName>
    <definedName name="C_">#REF!</definedName>
    <definedName name="C_.Ln">#REF!</definedName>
    <definedName name="C_Graf">#REF!</definedName>
    <definedName name="Ca">#REF!</definedName>
    <definedName name="Cl">#REF!</definedName>
    <definedName name="Cu">#REF!</definedName>
    <definedName name="Cu_S">#REF!</definedName>
    <definedName name="E__kWh_t">#REF!</definedName>
    <definedName name="Eb">#REF!</definedName>
    <definedName name="Eh">#REF!</definedName>
    <definedName name="F">#REF!</definedName>
    <definedName name="F80_">#REF!</definedName>
    <definedName name="F80_P80">#REF!</definedName>
    <definedName name="Fe">#REF!</definedName>
    <definedName name="HOLEID">#REF!</definedName>
    <definedName name="K">#REF!</definedName>
    <definedName name="k4_">#REF!</definedName>
    <definedName name="LastAnalysisModel" hidden="1">"Variables in Model 3"</definedName>
    <definedName name="M">#REF!</definedName>
    <definedName name="Mg">#REF!</definedName>
    <definedName name="Mia">#REF!</definedName>
    <definedName name="Mib__Doll">#REF!</definedName>
    <definedName name="Mib__SMC">#REF!</definedName>
    <definedName name="Mib_Corr">#REF!</definedName>
    <definedName name="Mih">#REF!</definedName>
    <definedName name="Mn">#REF!</definedName>
    <definedName name="Na">#REF!</definedName>
    <definedName name="nDataAnalysis" hidden="1">0</definedName>
    <definedName name="nRegMod" hidden="1">3</definedName>
    <definedName name="OKtoForecast" hidden="1">1</definedName>
    <definedName name="P">#REF!</definedName>
    <definedName name="P80_">#REF!</definedName>
    <definedName name="S">#REF!</definedName>
    <definedName name="S_Fe">#REF!</definedName>
    <definedName name="Sh">#REF!</definedName>
    <definedName name="Si">#REF!</definedName>
    <definedName name="T__t_h">#REF!</definedName>
    <definedName name="Th">#REF!</definedName>
    <definedName name="th1_">#REF!</definedName>
    <definedName name="th2_">#REF!</definedName>
    <definedName name="th3_">#REF!</definedName>
    <definedName name="U">#REF!</definedName>
    <definedName name="X">#REF!</definedName>
    <definedName name="Y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1" i="1" l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O61" i="1"/>
  <c r="M61" i="1"/>
  <c r="N61" i="1" s="1"/>
  <c r="L61" i="1"/>
  <c r="G61" i="1"/>
  <c r="R61" i="1" s="1"/>
  <c r="F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O60" i="1"/>
  <c r="M60" i="1"/>
  <c r="N60" i="1" s="1"/>
  <c r="L60" i="1"/>
  <c r="G60" i="1"/>
  <c r="F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O59" i="1"/>
  <c r="Q59" i="1" s="1"/>
  <c r="S59" i="1" s="1"/>
  <c r="M59" i="1"/>
  <c r="N59" i="1" s="1"/>
  <c r="R59" i="1" s="1"/>
  <c r="L59" i="1"/>
  <c r="G59" i="1"/>
  <c r="F59" i="1"/>
  <c r="P59" i="1" s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O58" i="1"/>
  <c r="N58" i="1"/>
  <c r="M58" i="1"/>
  <c r="L58" i="1"/>
  <c r="G58" i="1"/>
  <c r="F58" i="1"/>
  <c r="P58" i="1" s="1"/>
  <c r="Q58" i="1" s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O57" i="1"/>
  <c r="M57" i="1"/>
  <c r="N57" i="1" s="1"/>
  <c r="L57" i="1"/>
  <c r="G57" i="1"/>
  <c r="F57" i="1"/>
  <c r="P57" i="1" s="1"/>
  <c r="Q57" i="1" s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O56" i="1"/>
  <c r="M56" i="1"/>
  <c r="N56" i="1" s="1"/>
  <c r="L56" i="1"/>
  <c r="G56" i="1"/>
  <c r="F56" i="1"/>
  <c r="P56" i="1" s="1"/>
  <c r="Q56" i="1" s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O55" i="1"/>
  <c r="M55" i="1"/>
  <c r="N55" i="1" s="1"/>
  <c r="L55" i="1"/>
  <c r="G55" i="1"/>
  <c r="F55" i="1"/>
  <c r="P55" i="1" s="1"/>
  <c r="Q55" i="1" s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O54" i="1"/>
  <c r="M54" i="1"/>
  <c r="N54" i="1" s="1"/>
  <c r="L54" i="1"/>
  <c r="G54" i="1"/>
  <c r="F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O53" i="1"/>
  <c r="M53" i="1"/>
  <c r="N53" i="1" s="1"/>
  <c r="L53" i="1"/>
  <c r="G53" i="1"/>
  <c r="F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O52" i="1"/>
  <c r="M52" i="1"/>
  <c r="N52" i="1" s="1"/>
  <c r="R52" i="1" s="1"/>
  <c r="L52" i="1"/>
  <c r="G52" i="1"/>
  <c r="F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P51" i="1"/>
  <c r="O51" i="1"/>
  <c r="Q51" i="1" s="1"/>
  <c r="M51" i="1"/>
  <c r="N51" i="1" s="1"/>
  <c r="L51" i="1"/>
  <c r="G51" i="1"/>
  <c r="F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O50" i="1"/>
  <c r="N50" i="1"/>
  <c r="M50" i="1"/>
  <c r="L50" i="1"/>
  <c r="G50" i="1"/>
  <c r="R50" i="1" s="1"/>
  <c r="F50" i="1"/>
  <c r="P50" i="1" s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O49" i="1"/>
  <c r="M49" i="1"/>
  <c r="N49" i="1" s="1"/>
  <c r="L49" i="1"/>
  <c r="G49" i="1"/>
  <c r="F49" i="1"/>
  <c r="P49" i="1" s="1"/>
  <c r="Q49" i="1" s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O48" i="1"/>
  <c r="M48" i="1"/>
  <c r="N48" i="1" s="1"/>
  <c r="L48" i="1"/>
  <c r="G48" i="1"/>
  <c r="F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O47" i="1"/>
  <c r="M47" i="1"/>
  <c r="N47" i="1" s="1"/>
  <c r="L47" i="1"/>
  <c r="G47" i="1"/>
  <c r="F47" i="1"/>
  <c r="P47" i="1" s="1"/>
  <c r="Q47" i="1" s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O46" i="1"/>
  <c r="M46" i="1"/>
  <c r="N46" i="1" s="1"/>
  <c r="L46" i="1"/>
  <c r="G46" i="1"/>
  <c r="F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O45" i="1"/>
  <c r="M45" i="1"/>
  <c r="N45" i="1" s="1"/>
  <c r="L45" i="1"/>
  <c r="G45" i="1"/>
  <c r="F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O44" i="1"/>
  <c r="N44" i="1"/>
  <c r="R44" i="1" s="1"/>
  <c r="M44" i="1"/>
  <c r="L44" i="1"/>
  <c r="G44" i="1"/>
  <c r="F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P43" i="1"/>
  <c r="O43" i="1"/>
  <c r="Q43" i="1" s="1"/>
  <c r="M43" i="1"/>
  <c r="N43" i="1" s="1"/>
  <c r="L43" i="1"/>
  <c r="G43" i="1"/>
  <c r="F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O42" i="1"/>
  <c r="M42" i="1"/>
  <c r="N42" i="1" s="1"/>
  <c r="R42" i="1" s="1"/>
  <c r="L42" i="1"/>
  <c r="G42" i="1"/>
  <c r="F42" i="1"/>
  <c r="P42" i="1" s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O41" i="1"/>
  <c r="M41" i="1"/>
  <c r="N41" i="1" s="1"/>
  <c r="L41" i="1"/>
  <c r="G41" i="1"/>
  <c r="F41" i="1"/>
  <c r="P41" i="1" s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P40" i="1"/>
  <c r="O40" i="1"/>
  <c r="M40" i="1"/>
  <c r="N40" i="1" s="1"/>
  <c r="L40" i="1"/>
  <c r="G40" i="1"/>
  <c r="F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O39" i="1"/>
  <c r="M39" i="1"/>
  <c r="N39" i="1" s="1"/>
  <c r="L39" i="1"/>
  <c r="G39" i="1"/>
  <c r="F39" i="1"/>
  <c r="P39" i="1" s="1"/>
  <c r="Q39" i="1" s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O38" i="1"/>
  <c r="M38" i="1"/>
  <c r="N38" i="1" s="1"/>
  <c r="R38" i="1" s="1"/>
  <c r="L38" i="1"/>
  <c r="G38" i="1"/>
  <c r="F38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O37" i="1"/>
  <c r="M37" i="1"/>
  <c r="N37" i="1" s="1"/>
  <c r="L37" i="1"/>
  <c r="G37" i="1"/>
  <c r="F37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O36" i="1"/>
  <c r="M36" i="1"/>
  <c r="N36" i="1" s="1"/>
  <c r="R36" i="1" s="1"/>
  <c r="L36" i="1"/>
  <c r="G36" i="1"/>
  <c r="F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P35" i="1"/>
  <c r="O35" i="1"/>
  <c r="M35" i="1"/>
  <c r="N35" i="1" s="1"/>
  <c r="L35" i="1"/>
  <c r="G35" i="1"/>
  <c r="F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R34" i="1"/>
  <c r="O34" i="1"/>
  <c r="N34" i="1"/>
  <c r="M34" i="1"/>
  <c r="L34" i="1"/>
  <c r="G34" i="1"/>
  <c r="F34" i="1"/>
  <c r="P34" i="1" s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O33" i="1"/>
  <c r="N33" i="1"/>
  <c r="M33" i="1"/>
  <c r="L33" i="1"/>
  <c r="G33" i="1"/>
  <c r="F33" i="1"/>
  <c r="P33" i="1" s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P32" i="1"/>
  <c r="O32" i="1"/>
  <c r="N32" i="1"/>
  <c r="M32" i="1"/>
  <c r="L32" i="1"/>
  <c r="G32" i="1"/>
  <c r="F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O31" i="1"/>
  <c r="M31" i="1"/>
  <c r="N31" i="1" s="1"/>
  <c r="L31" i="1"/>
  <c r="G31" i="1"/>
  <c r="F31" i="1"/>
  <c r="P31" i="1" s="1"/>
  <c r="Q31" i="1" s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P30" i="1"/>
  <c r="O30" i="1"/>
  <c r="M30" i="1"/>
  <c r="N30" i="1" s="1"/>
  <c r="R30" i="1" s="1"/>
  <c r="L30" i="1"/>
  <c r="G30" i="1"/>
  <c r="F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O29" i="1"/>
  <c r="M29" i="1"/>
  <c r="N29" i="1" s="1"/>
  <c r="R29" i="1" s="1"/>
  <c r="L29" i="1"/>
  <c r="G29" i="1"/>
  <c r="F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O28" i="1"/>
  <c r="M28" i="1"/>
  <c r="N28" i="1" s="1"/>
  <c r="L28" i="1"/>
  <c r="G28" i="1"/>
  <c r="R28" i="1" s="1"/>
  <c r="F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O27" i="1"/>
  <c r="M27" i="1"/>
  <c r="N27" i="1" s="1"/>
  <c r="L27" i="1"/>
  <c r="G27" i="1"/>
  <c r="R27" i="1" s="1"/>
  <c r="F27" i="1"/>
  <c r="P27" i="1" s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O26" i="1"/>
  <c r="M26" i="1"/>
  <c r="N26" i="1" s="1"/>
  <c r="L26" i="1"/>
  <c r="G26" i="1"/>
  <c r="F26" i="1"/>
  <c r="P26" i="1" s="1"/>
  <c r="Q26" i="1" s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O25" i="1"/>
  <c r="N25" i="1"/>
  <c r="R25" i="1" s="1"/>
  <c r="M25" i="1"/>
  <c r="L25" i="1"/>
  <c r="G25" i="1"/>
  <c r="F25" i="1"/>
  <c r="P25" i="1" s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P24" i="1"/>
  <c r="O24" i="1"/>
  <c r="N24" i="1"/>
  <c r="M24" i="1"/>
  <c r="L24" i="1"/>
  <c r="G24" i="1"/>
  <c r="F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P23" i="1"/>
  <c r="O23" i="1"/>
  <c r="M23" i="1"/>
  <c r="N23" i="1" s="1"/>
  <c r="L23" i="1"/>
  <c r="G23" i="1"/>
  <c r="F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P22" i="1"/>
  <c r="Q22" i="1" s="1"/>
  <c r="S22" i="1" s="1"/>
  <c r="O22" i="1"/>
  <c r="M22" i="1"/>
  <c r="N22" i="1" s="1"/>
  <c r="R22" i="1" s="1"/>
  <c r="L22" i="1"/>
  <c r="G22" i="1"/>
  <c r="F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O21" i="1"/>
  <c r="M21" i="1"/>
  <c r="N21" i="1" s="1"/>
  <c r="R21" i="1" s="1"/>
  <c r="L21" i="1"/>
  <c r="G21" i="1"/>
  <c r="F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O20" i="1"/>
  <c r="M20" i="1"/>
  <c r="N20" i="1" s="1"/>
  <c r="R20" i="1" s="1"/>
  <c r="L20" i="1"/>
  <c r="G20" i="1"/>
  <c r="F20" i="1"/>
  <c r="P20" i="1" s="1"/>
  <c r="Q20" i="1" s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O19" i="1"/>
  <c r="M19" i="1"/>
  <c r="N19" i="1" s="1"/>
  <c r="L19" i="1"/>
  <c r="G19" i="1"/>
  <c r="F19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O18" i="1"/>
  <c r="M18" i="1"/>
  <c r="N18" i="1" s="1"/>
  <c r="L18" i="1"/>
  <c r="G18" i="1"/>
  <c r="F18" i="1"/>
  <c r="P18" i="1" s="1"/>
  <c r="Q18" i="1" s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P17" i="1"/>
  <c r="Q17" i="1" s="1"/>
  <c r="O17" i="1"/>
  <c r="M17" i="1"/>
  <c r="N17" i="1" s="1"/>
  <c r="L17" i="1"/>
  <c r="G17" i="1"/>
  <c r="F17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O16" i="1"/>
  <c r="M16" i="1"/>
  <c r="N16" i="1" s="1"/>
  <c r="R16" i="1" s="1"/>
  <c r="L16" i="1"/>
  <c r="G16" i="1"/>
  <c r="F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O15" i="1"/>
  <c r="M15" i="1"/>
  <c r="N15" i="1" s="1"/>
  <c r="R15" i="1" s="1"/>
  <c r="L15" i="1"/>
  <c r="G15" i="1"/>
  <c r="F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P14" i="1"/>
  <c r="O14" i="1"/>
  <c r="M14" i="1"/>
  <c r="N14" i="1" s="1"/>
  <c r="L14" i="1"/>
  <c r="G14" i="1"/>
  <c r="F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O13" i="1"/>
  <c r="M13" i="1"/>
  <c r="N13" i="1" s="1"/>
  <c r="R13" i="1" s="1"/>
  <c r="L13" i="1"/>
  <c r="G13" i="1"/>
  <c r="F13" i="1"/>
  <c r="P13" i="1" s="1"/>
  <c r="Q13" i="1" s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O12" i="1"/>
  <c r="N12" i="1"/>
  <c r="M12" i="1"/>
  <c r="L12" i="1"/>
  <c r="G12" i="1"/>
  <c r="R12" i="1" s="1"/>
  <c r="F12" i="1"/>
  <c r="P12" i="1" s="1"/>
  <c r="Q12" i="1" s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O11" i="1"/>
  <c r="N11" i="1"/>
  <c r="M11" i="1"/>
  <c r="L11" i="1"/>
  <c r="G11" i="1"/>
  <c r="R11" i="1" s="1"/>
  <c r="F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O10" i="1"/>
  <c r="M10" i="1"/>
  <c r="N10" i="1" s="1"/>
  <c r="L10" i="1"/>
  <c r="G10" i="1"/>
  <c r="F10" i="1"/>
  <c r="P10" i="1" s="1"/>
  <c r="Q10" i="1" s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P9" i="1"/>
  <c r="O9" i="1"/>
  <c r="M9" i="1"/>
  <c r="N9" i="1" s="1"/>
  <c r="L9" i="1"/>
  <c r="G9" i="1"/>
  <c r="F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O8" i="1"/>
  <c r="M8" i="1"/>
  <c r="N8" i="1" s="1"/>
  <c r="R8" i="1" s="1"/>
  <c r="L8" i="1"/>
  <c r="G8" i="1"/>
  <c r="F8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O7" i="1"/>
  <c r="M7" i="1"/>
  <c r="N7" i="1" s="1"/>
  <c r="R7" i="1" s="1"/>
  <c r="L7" i="1"/>
  <c r="G7" i="1"/>
  <c r="F7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P6" i="1"/>
  <c r="O6" i="1"/>
  <c r="M6" i="1"/>
  <c r="N6" i="1" s="1"/>
  <c r="L6" i="1"/>
  <c r="G6" i="1"/>
  <c r="F6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O5" i="1"/>
  <c r="M5" i="1"/>
  <c r="N5" i="1" s="1"/>
  <c r="R5" i="1" s="1"/>
  <c r="L5" i="1"/>
  <c r="G5" i="1"/>
  <c r="F5" i="1"/>
  <c r="P5" i="1" s="1"/>
  <c r="Q5" i="1" s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O4" i="1"/>
  <c r="M4" i="1"/>
  <c r="N4" i="1" s="1"/>
  <c r="R4" i="1" s="1"/>
  <c r="L4" i="1"/>
  <c r="G4" i="1"/>
  <c r="F4" i="1"/>
  <c r="P4" i="1" s="1"/>
  <c r="Q4" i="1" s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O3" i="1"/>
  <c r="M3" i="1"/>
  <c r="N3" i="1" s="1"/>
  <c r="L3" i="1"/>
  <c r="G3" i="1"/>
  <c r="F3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O2" i="1"/>
  <c r="M2" i="1"/>
  <c r="N2" i="1" s="1"/>
  <c r="L2" i="1"/>
  <c r="G2" i="1"/>
  <c r="F2" i="1"/>
  <c r="P2" i="1" s="1"/>
  <c r="Q2" i="1" s="1"/>
  <c r="R48" i="1" l="1"/>
  <c r="R49" i="1"/>
  <c r="R56" i="1"/>
  <c r="S56" i="1" s="1"/>
  <c r="R57" i="1"/>
  <c r="S57" i="1" s="1"/>
  <c r="R3" i="1"/>
  <c r="Q6" i="1"/>
  <c r="Q14" i="1"/>
  <c r="R19" i="1"/>
  <c r="Q23" i="1"/>
  <c r="S23" i="1" s="1"/>
  <c r="Q46" i="1"/>
  <c r="Q54" i="1"/>
  <c r="S54" i="1" s="1"/>
  <c r="Q9" i="1"/>
  <c r="Q34" i="1"/>
  <c r="S34" i="1" s="1"/>
  <c r="R58" i="1"/>
  <c r="Q24" i="1"/>
  <c r="S24" i="1" s="1"/>
  <c r="Q25" i="1"/>
  <c r="Q32" i="1"/>
  <c r="Q33" i="1"/>
  <c r="S33" i="1" s="1"/>
  <c r="R24" i="1"/>
  <c r="Q27" i="1"/>
  <c r="R32" i="1"/>
  <c r="R33" i="1"/>
  <c r="R37" i="1"/>
  <c r="P38" i="1"/>
  <c r="Q38" i="1" s="1"/>
  <c r="S38" i="1" s="1"/>
  <c r="Q42" i="1"/>
  <c r="S42" i="1" s="1"/>
  <c r="R46" i="1"/>
  <c r="R54" i="1"/>
  <c r="R9" i="1"/>
  <c r="R17" i="1"/>
  <c r="R26" i="1"/>
  <c r="S26" i="1" s="1"/>
  <c r="Q30" i="1"/>
  <c r="S30" i="1" s="1"/>
  <c r="R31" i="1"/>
  <c r="Q40" i="1"/>
  <c r="S40" i="1" s="1"/>
  <c r="Q41" i="1"/>
  <c r="P48" i="1"/>
  <c r="Q48" i="1" s="1"/>
  <c r="S48" i="1" s="1"/>
  <c r="P3" i="1"/>
  <c r="Q3" i="1" s="1"/>
  <c r="S3" i="1" s="1"/>
  <c r="P11" i="1"/>
  <c r="Q11" i="1" s="1"/>
  <c r="S11" i="1" s="1"/>
  <c r="P19" i="1"/>
  <c r="Q19" i="1" s="1"/>
  <c r="S19" i="1" s="1"/>
  <c r="Q35" i="1"/>
  <c r="R40" i="1"/>
  <c r="R41" i="1"/>
  <c r="S41" i="1" s="1"/>
  <c r="R45" i="1"/>
  <c r="P46" i="1"/>
  <c r="Q50" i="1"/>
  <c r="S50" i="1" s="1"/>
  <c r="R53" i="1"/>
  <c r="P54" i="1"/>
  <c r="R60" i="1"/>
  <c r="S17" i="1"/>
  <c r="S18" i="1"/>
  <c r="R51" i="1"/>
  <c r="S51" i="1" s="1"/>
  <c r="S9" i="1"/>
  <c r="R23" i="1"/>
  <c r="S25" i="1"/>
  <c r="R6" i="1"/>
  <c r="S6" i="1" s="1"/>
  <c r="Q8" i="1"/>
  <c r="S8" i="1" s="1"/>
  <c r="R10" i="1"/>
  <c r="S10" i="1" s="1"/>
  <c r="S12" i="1"/>
  <c r="S13" i="1"/>
  <c r="R14" i="1"/>
  <c r="S14" i="1" s="1"/>
  <c r="R18" i="1"/>
  <c r="S20" i="1"/>
  <c r="R35" i="1"/>
  <c r="Q37" i="1"/>
  <c r="S37" i="1" s="1"/>
  <c r="R39" i="1"/>
  <c r="S39" i="1" s="1"/>
  <c r="R2" i="1"/>
  <c r="S2" i="1" s="1"/>
  <c r="S4" i="1"/>
  <c r="S5" i="1"/>
  <c r="S27" i="1"/>
  <c r="S46" i="1"/>
  <c r="Q53" i="1"/>
  <c r="S53" i="1" s="1"/>
  <c r="R55" i="1"/>
  <c r="S55" i="1" s="1"/>
  <c r="S58" i="1"/>
  <c r="S31" i="1"/>
  <c r="R43" i="1"/>
  <c r="S43" i="1" s="1"/>
  <c r="R47" i="1"/>
  <c r="S47" i="1" s="1"/>
  <c r="S49" i="1"/>
  <c r="P8" i="1"/>
  <c r="P16" i="1"/>
  <c r="Q16" i="1" s="1"/>
  <c r="S16" i="1" s="1"/>
  <c r="P21" i="1"/>
  <c r="Q21" i="1" s="1"/>
  <c r="S21" i="1" s="1"/>
  <c r="P29" i="1"/>
  <c r="Q29" i="1" s="1"/>
  <c r="S29" i="1" s="1"/>
  <c r="P37" i="1"/>
  <c r="P45" i="1"/>
  <c r="Q45" i="1" s="1"/>
  <c r="S45" i="1" s="1"/>
  <c r="P53" i="1"/>
  <c r="P61" i="1"/>
  <c r="Q61" i="1" s="1"/>
  <c r="S61" i="1" s="1"/>
  <c r="P7" i="1"/>
  <c r="Q7" i="1" s="1"/>
  <c r="S7" i="1" s="1"/>
  <c r="P15" i="1"/>
  <c r="Q15" i="1" s="1"/>
  <c r="S15" i="1" s="1"/>
  <c r="P28" i="1"/>
  <c r="Q28" i="1" s="1"/>
  <c r="S28" i="1" s="1"/>
  <c r="P36" i="1"/>
  <c r="Q36" i="1" s="1"/>
  <c r="S36" i="1" s="1"/>
  <c r="P44" i="1"/>
  <c r="Q44" i="1" s="1"/>
  <c r="S44" i="1" s="1"/>
  <c r="P52" i="1"/>
  <c r="Q52" i="1" s="1"/>
  <c r="S52" i="1" s="1"/>
  <c r="P60" i="1"/>
  <c r="Q60" i="1" s="1"/>
  <c r="S35" i="1" l="1"/>
  <c r="S32" i="1"/>
  <c r="S60" i="1"/>
</calcChain>
</file>

<file path=xl/sharedStrings.xml><?xml version="1.0" encoding="utf-8"?>
<sst xmlns="http://schemas.openxmlformats.org/spreadsheetml/2006/main" count="36" uniqueCount="36">
  <si>
    <t>HOLEID</t>
  </si>
  <si>
    <t>X</t>
  </si>
  <si>
    <t>Y</t>
  </si>
  <si>
    <t>Z</t>
  </si>
  <si>
    <t>Axb</t>
  </si>
  <si>
    <t>Mih</t>
  </si>
  <si>
    <t>Mia</t>
  </si>
  <si>
    <t>F80</t>
  </si>
  <si>
    <t>P80</t>
  </si>
  <si>
    <t>M</t>
  </si>
  <si>
    <t>A</t>
  </si>
  <si>
    <t>BWI</t>
  </si>
  <si>
    <t>Mib</t>
  </si>
  <si>
    <t>Mib*</t>
  </si>
  <si>
    <t>Sh</t>
  </si>
  <si>
    <t>k4</t>
  </si>
  <si>
    <t>Ehpgr</t>
  </si>
  <si>
    <t>Emill</t>
  </si>
  <si>
    <t>Etotal</t>
  </si>
  <si>
    <t>Al (%)</t>
  </si>
  <si>
    <t>Cu (%)</t>
  </si>
  <si>
    <t>S (%)</t>
  </si>
  <si>
    <t>U (%)</t>
  </si>
  <si>
    <t>K (%)</t>
  </si>
  <si>
    <t>Fe (%)</t>
  </si>
  <si>
    <t>C (%)</t>
  </si>
  <si>
    <t>Ca (%)</t>
  </si>
  <si>
    <t>C Graf (%)</t>
  </si>
  <si>
    <t>Cl (%)</t>
  </si>
  <si>
    <t>F (%)</t>
  </si>
  <si>
    <t>Mg (%)</t>
  </si>
  <si>
    <t>Mn (%)</t>
  </si>
  <si>
    <t>Na (%)</t>
  </si>
  <si>
    <t>P (%)</t>
  </si>
  <si>
    <t>Si (%)</t>
  </si>
  <si>
    <t>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</si>
</sst>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-Drive\000-Disciplinas\000-Geometalurgia\2025-2-Instituto-Minere-Presencial\Projeto%20Geomet%20Salobo\comminution_gabarito.xlsx" TargetMode="External"/><Relationship Id="rId1" Type="http://schemas.openxmlformats.org/officeDocument/2006/relationships/externalLinkPath" Target="file:///D:\0-Drive\000-Disciplinas\000-Geometalurgia\2025-2-Instituto-Minere-Presencial\Projeto%20Geomet%20Salobo\comminution_gabar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"/>
      <sheetName val="Ab solver"/>
      <sheetName val="Energia"/>
    </sheetNames>
    <sheetDataSet>
      <sheetData sheetId="0">
        <row r="2">
          <cell r="L2">
            <v>53061.375830579498</v>
          </cell>
          <cell r="M2">
            <v>534</v>
          </cell>
          <cell r="N2">
            <v>7292.2573997086301</v>
          </cell>
          <cell r="P2">
            <v>3313.41764420647</v>
          </cell>
          <cell r="Q2">
            <v>9629.6716417910393</v>
          </cell>
          <cell r="R2">
            <v>4266.9264490988799</v>
          </cell>
          <cell r="S2">
            <v>287065.38748534198</v>
          </cell>
          <cell r="T2">
            <v>20113.8630212024</v>
          </cell>
          <cell r="U2">
            <v>6621.9805990832501</v>
          </cell>
          <cell r="V2">
            <v>6925.5552002274098</v>
          </cell>
          <cell r="W2">
            <v>155</v>
          </cell>
          <cell r="X2">
            <v>230</v>
          </cell>
          <cell r="Y2">
            <v>2790</v>
          </cell>
          <cell r="Z2">
            <v>183035.003375617</v>
          </cell>
          <cell r="AA2">
            <v>3</v>
          </cell>
          <cell r="AB2">
            <v>10.454775257636699</v>
          </cell>
        </row>
        <row r="3">
          <cell r="L3">
            <v>48197.507190795703</v>
          </cell>
          <cell r="M3">
            <v>314</v>
          </cell>
          <cell r="N3">
            <v>3179.2905081495501</v>
          </cell>
          <cell r="P3">
            <v>7358.79148715681</v>
          </cell>
          <cell r="Q3">
            <v>3186.0128776622</v>
          </cell>
          <cell r="R3">
            <v>2661.3704071499501</v>
          </cell>
          <cell r="S3">
            <v>229643.33652924199</v>
          </cell>
          <cell r="T3">
            <v>28938.287401574798</v>
          </cell>
          <cell r="U3">
            <v>6324.0651965484103</v>
          </cell>
          <cell r="V3">
            <v>3112.1764141898302</v>
          </cell>
          <cell r="W3">
            <v>388.31594488188898</v>
          </cell>
          <cell r="X3">
            <v>230</v>
          </cell>
          <cell r="Y3">
            <v>724</v>
          </cell>
          <cell r="Z3">
            <v>226433.36529242501</v>
          </cell>
          <cell r="AA3">
            <v>3</v>
          </cell>
          <cell r="AB3">
            <v>3.6468867924528299</v>
          </cell>
        </row>
        <row r="4">
          <cell r="L4">
            <v>55575.355450236901</v>
          </cell>
          <cell r="M4">
            <v>499.5</v>
          </cell>
          <cell r="N4">
            <v>3446.44549763033</v>
          </cell>
          <cell r="P4">
            <v>3093.8650936808899</v>
          </cell>
          <cell r="Q4">
            <v>3257.79264214046</v>
          </cell>
          <cell r="R4">
            <v>1445.7831325301199</v>
          </cell>
          <cell r="S4">
            <v>239465.40284360101</v>
          </cell>
          <cell r="T4">
            <v>22656.3583815028</v>
          </cell>
          <cell r="U4">
            <v>6925.1184834123196</v>
          </cell>
          <cell r="V4">
            <v>3850.2369668246401</v>
          </cell>
          <cell r="W4">
            <v>1608.4874759152201</v>
          </cell>
          <cell r="X4">
            <v>230</v>
          </cell>
          <cell r="Y4">
            <v>1055</v>
          </cell>
          <cell r="Z4">
            <v>215387.677725118</v>
          </cell>
          <cell r="AA4">
            <v>3</v>
          </cell>
          <cell r="AB4">
            <v>8.5058095238095195</v>
          </cell>
        </row>
        <row r="5">
          <cell r="L5">
            <v>55596.590909090897</v>
          </cell>
          <cell r="M5">
            <v>630</v>
          </cell>
          <cell r="N5">
            <v>4910.9848484848399</v>
          </cell>
          <cell r="P5">
            <v>5555.1719373476799</v>
          </cell>
          <cell r="Q5">
            <v>4494.7982498784604</v>
          </cell>
          <cell r="R5">
            <v>2936.50793650793</v>
          </cell>
          <cell r="S5">
            <v>272844.69696969702</v>
          </cell>
          <cell r="T5">
            <v>25535.603112840399</v>
          </cell>
          <cell r="U5">
            <v>6490.5303030303003</v>
          </cell>
          <cell r="V5">
            <v>6814.3939393939399</v>
          </cell>
          <cell r="W5">
            <v>345.34824902723699</v>
          </cell>
          <cell r="X5">
            <v>230</v>
          </cell>
          <cell r="Y5">
            <v>1429.99999999999</v>
          </cell>
          <cell r="Z5">
            <v>194772.727272727</v>
          </cell>
          <cell r="AA5">
            <v>3</v>
          </cell>
          <cell r="AB5">
            <v>6.2339303482587001</v>
          </cell>
        </row>
        <row r="6">
          <cell r="L6">
            <v>60304.597701149403</v>
          </cell>
          <cell r="M6">
            <v>150</v>
          </cell>
          <cell r="N6">
            <v>11281.6091954023</v>
          </cell>
          <cell r="P6">
            <v>4345.4313273792905</v>
          </cell>
          <cell r="Q6">
            <v>3147.9904306220101</v>
          </cell>
          <cell r="R6">
            <v>2972.9729729729702</v>
          </cell>
          <cell r="S6">
            <v>238553.63984674201</v>
          </cell>
          <cell r="T6">
            <v>26901.6267942583</v>
          </cell>
          <cell r="U6">
            <v>8932.9501915708806</v>
          </cell>
          <cell r="V6">
            <v>3852.4904214559301</v>
          </cell>
          <cell r="W6">
            <v>1686.07655502392</v>
          </cell>
          <cell r="X6">
            <v>492.33716475095702</v>
          </cell>
          <cell r="Y6">
            <v>745</v>
          </cell>
          <cell r="Z6">
            <v>205308.429118773</v>
          </cell>
          <cell r="AA6">
            <v>3</v>
          </cell>
          <cell r="AB6">
            <v>3.2864891518737598</v>
          </cell>
        </row>
        <row r="7">
          <cell r="L7">
            <v>56375</v>
          </cell>
          <cell r="M7">
            <v>591</v>
          </cell>
          <cell r="N7">
            <v>7598.8805970149197</v>
          </cell>
          <cell r="P7">
            <v>5137.1060114852598</v>
          </cell>
          <cell r="Q7">
            <v>4588.6040693295199</v>
          </cell>
          <cell r="R7">
            <v>4921.0148396361801</v>
          </cell>
          <cell r="S7">
            <v>244059.70149253699</v>
          </cell>
          <cell r="T7">
            <v>21579.944547134899</v>
          </cell>
          <cell r="U7">
            <v>17035.447761193998</v>
          </cell>
          <cell r="V7">
            <v>6619.4029850746201</v>
          </cell>
          <cell r="W7">
            <v>932.63401109057304</v>
          </cell>
          <cell r="X7">
            <v>720.14925373134304</v>
          </cell>
          <cell r="Y7">
            <v>1409.99999999999</v>
          </cell>
          <cell r="Z7">
            <v>200447.76119403</v>
          </cell>
          <cell r="AA7">
            <v>3</v>
          </cell>
          <cell r="AB7">
            <v>5.7789017341040401</v>
          </cell>
        </row>
        <row r="8">
          <cell r="L8">
            <v>57919.400187441301</v>
          </cell>
          <cell r="M8">
            <v>304</v>
          </cell>
          <cell r="N8">
            <v>3387.0665417057098</v>
          </cell>
          <cell r="P8">
            <v>4148.7732778880199</v>
          </cell>
          <cell r="Q8">
            <v>3739.0773809523798</v>
          </cell>
          <cell r="R8">
            <v>2581.2807881773401</v>
          </cell>
          <cell r="S8">
            <v>265426.42924086202</v>
          </cell>
          <cell r="T8">
            <v>24306.2675397567</v>
          </cell>
          <cell r="U8">
            <v>6751.6401124648401</v>
          </cell>
          <cell r="V8">
            <v>4232.4273664479797</v>
          </cell>
          <cell r="W8">
            <v>599.66043030869901</v>
          </cell>
          <cell r="X8">
            <v>230</v>
          </cell>
          <cell r="Y8">
            <v>1130</v>
          </cell>
          <cell r="Z8">
            <v>201771.32146204301</v>
          </cell>
          <cell r="AA8">
            <v>3</v>
          </cell>
          <cell r="AB8">
            <v>5.9805583250249201</v>
          </cell>
        </row>
        <row r="9">
          <cell r="L9">
            <v>65495.601173020499</v>
          </cell>
          <cell r="M9">
            <v>443</v>
          </cell>
          <cell r="N9">
            <v>8203.3235581622594</v>
          </cell>
          <cell r="P9">
            <v>2361.7245465176402</v>
          </cell>
          <cell r="Q9">
            <v>4696.9798657718102</v>
          </cell>
          <cell r="R9">
            <v>2246.5208747514898</v>
          </cell>
          <cell r="S9">
            <v>227990.22482893299</v>
          </cell>
          <cell r="T9">
            <v>14906.2675397566</v>
          </cell>
          <cell r="U9">
            <v>12574.780058651</v>
          </cell>
          <cell r="V9">
            <v>8705.7673509286396</v>
          </cell>
          <cell r="W9">
            <v>604.59214218896102</v>
          </cell>
          <cell r="X9">
            <v>1049.85337243401</v>
          </cell>
          <cell r="Y9">
            <v>1360</v>
          </cell>
          <cell r="Z9">
            <v>213309.872922776</v>
          </cell>
          <cell r="AA9">
            <v>3</v>
          </cell>
          <cell r="AB9">
            <v>9.0100925925925797</v>
          </cell>
        </row>
        <row r="10">
          <cell r="L10">
            <v>55489.483747609898</v>
          </cell>
          <cell r="M10">
            <v>386</v>
          </cell>
          <cell r="N10">
            <v>3122.37093690248</v>
          </cell>
          <cell r="P10">
            <v>6676.6637222417403</v>
          </cell>
          <cell r="Q10">
            <v>3304.5955002393298</v>
          </cell>
          <cell r="R10">
            <v>2598.6525505293498</v>
          </cell>
          <cell r="S10">
            <v>238426.386233269</v>
          </cell>
          <cell r="T10">
            <v>29000.387221684399</v>
          </cell>
          <cell r="U10">
            <v>4990.4397705544898</v>
          </cell>
          <cell r="V10">
            <v>5621.4149139579304</v>
          </cell>
          <cell r="W10">
            <v>400.24878993223598</v>
          </cell>
          <cell r="X10">
            <v>230</v>
          </cell>
          <cell r="Y10">
            <v>937</v>
          </cell>
          <cell r="Z10">
            <v>225508.60420650101</v>
          </cell>
          <cell r="AA10">
            <v>3</v>
          </cell>
          <cell r="AB10">
            <v>5.5649514563106797</v>
          </cell>
        </row>
        <row r="11">
          <cell r="L11">
            <v>27162.609542356298</v>
          </cell>
          <cell r="M11">
            <v>689</v>
          </cell>
          <cell r="N11">
            <v>4136.3193768256997</v>
          </cell>
          <cell r="P11">
            <v>3198.0124298266201</v>
          </cell>
          <cell r="Q11">
            <v>6795.4375896700103</v>
          </cell>
          <cell r="R11">
            <v>2535.4206198608399</v>
          </cell>
          <cell r="S11">
            <v>431809.15287244401</v>
          </cell>
          <cell r="T11">
            <v>8639.3113207547103</v>
          </cell>
          <cell r="U11">
            <v>8157.7409931840302</v>
          </cell>
          <cell r="V11">
            <v>10284.3232716649</v>
          </cell>
          <cell r="W11">
            <v>155</v>
          </cell>
          <cell r="X11">
            <v>475.17039922103203</v>
          </cell>
          <cell r="Y11">
            <v>2990</v>
          </cell>
          <cell r="Z11">
            <v>124514.11879259899</v>
          </cell>
          <cell r="AA11">
            <v>3</v>
          </cell>
          <cell r="AB11">
            <v>12.4518190757128</v>
          </cell>
        </row>
        <row r="12">
          <cell r="L12">
            <v>31725.527831094001</v>
          </cell>
          <cell r="M12">
            <v>522</v>
          </cell>
          <cell r="N12">
            <v>9147.7927063339703</v>
          </cell>
          <cell r="P12">
            <v>2987.06046040925</v>
          </cell>
          <cell r="Q12">
            <v>20371.884057970899</v>
          </cell>
          <cell r="R12">
            <v>4904.3648847474196</v>
          </cell>
          <cell r="S12">
            <v>376623.80038387701</v>
          </cell>
          <cell r="T12">
            <v>9662.0265151515105</v>
          </cell>
          <cell r="U12">
            <v>4199.61612284069</v>
          </cell>
          <cell r="V12">
            <v>9554.7024952015308</v>
          </cell>
          <cell r="W12">
            <v>155</v>
          </cell>
          <cell r="X12">
            <v>938.579654510556</v>
          </cell>
          <cell r="Y12">
            <v>6040</v>
          </cell>
          <cell r="Z12">
            <v>140284.06909788799</v>
          </cell>
          <cell r="AA12">
            <v>3</v>
          </cell>
          <cell r="AB12">
            <v>32.427788461538398</v>
          </cell>
        </row>
        <row r="13">
          <cell r="L13">
            <v>52278.348937891002</v>
          </cell>
          <cell r="M13">
            <v>376</v>
          </cell>
          <cell r="N13">
            <v>4513.2798901137903</v>
          </cell>
          <cell r="P13">
            <v>7229.9575493044904</v>
          </cell>
          <cell r="Q13">
            <v>4929.5853423336503</v>
          </cell>
          <cell r="R13">
            <v>3220.8293153326899</v>
          </cell>
          <cell r="S13">
            <v>266200.84382113197</v>
          </cell>
          <cell r="T13">
            <v>28228.021978021901</v>
          </cell>
          <cell r="U13">
            <v>5961.2984498065698</v>
          </cell>
          <cell r="V13">
            <v>6260.9852048934999</v>
          </cell>
          <cell r="W13">
            <v>750.33791208791195</v>
          </cell>
          <cell r="X13">
            <v>230</v>
          </cell>
          <cell r="Y13">
            <v>1790</v>
          </cell>
          <cell r="Z13">
            <v>199576.10922309899</v>
          </cell>
          <cell r="AA13">
            <v>3</v>
          </cell>
          <cell r="AB13">
            <v>6.5279138099902001</v>
          </cell>
        </row>
        <row r="14">
          <cell r="L14">
            <v>56307.820160990101</v>
          </cell>
          <cell r="M14">
            <v>1820</v>
          </cell>
          <cell r="N14">
            <v>10874.593830146599</v>
          </cell>
          <cell r="O14">
            <v>150</v>
          </cell>
          <cell r="P14">
            <v>442.40120320931402</v>
          </cell>
          <cell r="Q14">
            <v>8898.3713355048803</v>
          </cell>
          <cell r="R14">
            <v>481.231953801732</v>
          </cell>
          <cell r="S14">
            <v>85087.634477997897</v>
          </cell>
          <cell r="T14">
            <v>20931.122471578299</v>
          </cell>
          <cell r="U14">
            <v>13243.525133425699</v>
          </cell>
          <cell r="V14">
            <v>913.14091591886495</v>
          </cell>
          <cell r="W14">
            <v>7560.64452605935</v>
          </cell>
          <cell r="X14">
            <v>875.617088222804</v>
          </cell>
          <cell r="Y14">
            <v>3070</v>
          </cell>
          <cell r="Z14">
            <v>311339.75348272501</v>
          </cell>
          <cell r="AB14">
            <v>31.7441176470588</v>
          </cell>
        </row>
        <row r="15">
          <cell r="L15">
            <v>60293.255131964797</v>
          </cell>
          <cell r="M15">
            <v>405</v>
          </cell>
          <cell r="N15">
            <v>6084.0664711632398</v>
          </cell>
          <cell r="O15">
            <v>331.331435989613</v>
          </cell>
          <cell r="P15">
            <v>6914.7994295766803</v>
          </cell>
          <cell r="Q15">
            <v>4791.4230019493098</v>
          </cell>
          <cell r="R15">
            <v>3292.0178482895299</v>
          </cell>
          <cell r="S15">
            <v>210899.31573802399</v>
          </cell>
          <cell r="T15">
            <v>27725.8382642998</v>
          </cell>
          <cell r="U15">
            <v>3892.4731182795599</v>
          </cell>
          <cell r="V15">
            <v>4199.41348973607</v>
          </cell>
          <cell r="W15">
            <v>3500.9861932938802</v>
          </cell>
          <cell r="X15">
            <v>604.10557184750701</v>
          </cell>
          <cell r="Y15">
            <v>1200</v>
          </cell>
          <cell r="Z15">
            <v>232449.65786901201</v>
          </cell>
        </row>
        <row r="16">
          <cell r="L16">
            <v>64945.736434108498</v>
          </cell>
          <cell r="M16">
            <v>918</v>
          </cell>
          <cell r="N16">
            <v>36858.527131782903</v>
          </cell>
          <cell r="O16">
            <v>355.59465922678299</v>
          </cell>
          <cell r="P16">
            <v>2850.63069049355</v>
          </cell>
          <cell r="Q16">
            <v>6120</v>
          </cell>
          <cell r="R16">
            <v>2211.72330837866</v>
          </cell>
          <cell r="S16">
            <v>108862.403100775</v>
          </cell>
          <cell r="T16">
            <v>23217.582931448302</v>
          </cell>
          <cell r="U16">
            <v>49032.9457364341</v>
          </cell>
          <cell r="V16">
            <v>1389.5348837209301</v>
          </cell>
          <cell r="W16">
            <v>2819.6405585182702</v>
          </cell>
          <cell r="X16">
            <v>965.11627906976696</v>
          </cell>
          <cell r="Y16">
            <v>2250</v>
          </cell>
          <cell r="Z16">
            <v>222914.72868216899</v>
          </cell>
          <cell r="AB16">
            <v>9.92</v>
          </cell>
        </row>
        <row r="17">
          <cell r="L17">
            <v>42130.393096836</v>
          </cell>
          <cell r="M17">
            <v>591</v>
          </cell>
          <cell r="N17">
            <v>6013.4228187919398</v>
          </cell>
          <cell r="O17">
            <v>546.91238189955197</v>
          </cell>
          <cell r="P17">
            <v>5219.5570943316097</v>
          </cell>
          <cell r="Q17">
            <v>14506.0009601536</v>
          </cell>
          <cell r="R17">
            <v>4109.58904109589</v>
          </cell>
          <cell r="S17">
            <v>348396.931927133</v>
          </cell>
          <cell r="T17">
            <v>18990.779467680601</v>
          </cell>
          <cell r="U17">
            <v>6318.3125599232899</v>
          </cell>
          <cell r="V17">
            <v>6465.9635666347003</v>
          </cell>
          <cell r="W17">
            <v>452.95152091254698</v>
          </cell>
          <cell r="X17">
            <v>866.73058485138995</v>
          </cell>
          <cell r="Y17">
            <v>4720</v>
          </cell>
          <cell r="Z17">
            <v>159374.88015340301</v>
          </cell>
          <cell r="AB17">
            <v>26.5354205607476</v>
          </cell>
        </row>
        <row r="18">
          <cell r="L18">
            <v>66717.647058823495</v>
          </cell>
          <cell r="M18">
            <v>1030</v>
          </cell>
          <cell r="N18">
            <v>21868.627450980301</v>
          </cell>
          <cell r="O18">
            <v>303.25076968914402</v>
          </cell>
          <cell r="P18">
            <v>2904.3026129166901</v>
          </cell>
          <cell r="Q18">
            <v>3470.5301284162001</v>
          </cell>
          <cell r="R18">
            <v>975.12437810945198</v>
          </cell>
          <cell r="S18">
            <v>161656.86274509801</v>
          </cell>
          <cell r="T18">
            <v>12047.4576271186</v>
          </cell>
          <cell r="U18">
            <v>23441.176470588201</v>
          </cell>
          <cell r="V18">
            <v>3174.50980392156</v>
          </cell>
          <cell r="W18">
            <v>17771.186440677899</v>
          </cell>
          <cell r="X18">
            <v>764.70588235294099</v>
          </cell>
          <cell r="Y18">
            <v>1130</v>
          </cell>
          <cell r="Z18">
            <v>229778.43137254901</v>
          </cell>
          <cell r="AB18">
            <v>5.4461089494163399</v>
          </cell>
        </row>
        <row r="19">
          <cell r="L19">
            <v>29625.490196078299</v>
          </cell>
          <cell r="M19">
            <v>411</v>
          </cell>
          <cell r="N19">
            <v>10262.7450980392</v>
          </cell>
          <cell r="O19">
            <v>589.52338861853195</v>
          </cell>
          <cell r="P19">
            <v>987.60515743670805</v>
          </cell>
          <cell r="Q19">
            <v>26472.0149253731</v>
          </cell>
          <cell r="R19">
            <v>7690.07263922518</v>
          </cell>
          <cell r="S19">
            <v>394211.764705882</v>
          </cell>
          <cell r="T19">
            <v>3390.1597744360902</v>
          </cell>
          <cell r="U19">
            <v>20949.0196078431</v>
          </cell>
          <cell r="V19">
            <v>4045.0980392156798</v>
          </cell>
          <cell r="W19">
            <v>674.84962406014995</v>
          </cell>
          <cell r="X19">
            <v>1262.74509803921</v>
          </cell>
          <cell r="Y19">
            <v>11200</v>
          </cell>
          <cell r="Z19">
            <v>122186.274509803</v>
          </cell>
          <cell r="AB19">
            <v>48.929563492063501</v>
          </cell>
        </row>
        <row r="20">
          <cell r="L20">
            <v>19416.030534351099</v>
          </cell>
          <cell r="M20">
            <v>441</v>
          </cell>
          <cell r="N20">
            <v>1973.28244274809</v>
          </cell>
          <cell r="O20">
            <v>393.049717177731</v>
          </cell>
          <cell r="Q20">
            <v>4535.2756243944896</v>
          </cell>
          <cell r="R20">
            <v>581.67716917110999</v>
          </cell>
          <cell r="S20">
            <v>263297.70992366399</v>
          </cell>
          <cell r="T20">
            <v>5714.9665071770296</v>
          </cell>
          <cell r="U20">
            <v>3484.73282442748</v>
          </cell>
          <cell r="V20">
            <v>3152.67175572519</v>
          </cell>
          <cell r="W20">
            <v>155</v>
          </cell>
          <cell r="X20">
            <v>230</v>
          </cell>
          <cell r="Y20">
            <v>1580</v>
          </cell>
          <cell r="Z20">
            <v>252131.67938931199</v>
          </cell>
          <cell r="AB20">
            <v>4.7653140096618296</v>
          </cell>
        </row>
        <row r="21">
          <cell r="L21">
            <v>61304.347826086901</v>
          </cell>
          <cell r="M21">
            <v>703</v>
          </cell>
          <cell r="N21">
            <v>5593.5727788279701</v>
          </cell>
          <cell r="O21">
            <v>721.03576395787798</v>
          </cell>
          <cell r="P21">
            <v>3921.9423905073099</v>
          </cell>
          <cell r="Q21">
            <v>5424.6575342465703</v>
          </cell>
          <cell r="R21">
            <v>2366.6343355965</v>
          </cell>
          <cell r="S21">
            <v>200667.29678638899</v>
          </cell>
          <cell r="T21">
            <v>20688.2129277565</v>
          </cell>
          <cell r="U21">
            <v>19034.026465028299</v>
          </cell>
          <cell r="V21">
            <v>4081.2854442344001</v>
          </cell>
          <cell r="W21">
            <v>6583.65019011406</v>
          </cell>
          <cell r="X21">
            <v>846.88090737239997</v>
          </cell>
          <cell r="Y21">
            <v>1700</v>
          </cell>
          <cell r="Z21">
            <v>228465.02835538701</v>
          </cell>
        </row>
        <row r="22">
          <cell r="L22">
            <v>60470.370370370299</v>
          </cell>
          <cell r="M22">
            <v>150</v>
          </cell>
          <cell r="N22">
            <v>6172.2222222222199</v>
          </cell>
          <cell r="O22">
            <v>150</v>
          </cell>
          <cell r="P22">
            <v>1738.84217805357</v>
          </cell>
          <cell r="Q22">
            <v>7069.1540862196498</v>
          </cell>
          <cell r="R22">
            <v>2388.9437314906199</v>
          </cell>
          <cell r="S22">
            <v>274357.40740740701</v>
          </cell>
          <cell r="T22">
            <v>10306.0941828254</v>
          </cell>
          <cell r="U22">
            <v>17162.962962962902</v>
          </cell>
          <cell r="V22">
            <v>7331.4814814814799</v>
          </cell>
          <cell r="W22">
            <v>155</v>
          </cell>
          <cell r="X22">
            <v>1142.5925925925901</v>
          </cell>
          <cell r="Y22">
            <v>2350</v>
          </cell>
          <cell r="Z22">
            <v>195792.592592592</v>
          </cell>
          <cell r="AB22">
            <v>11.432893496701199</v>
          </cell>
        </row>
        <row r="23">
          <cell r="L23">
            <v>59300.8415326248</v>
          </cell>
          <cell r="M23">
            <v>983</v>
          </cell>
          <cell r="N23">
            <v>3135.1292470871699</v>
          </cell>
          <cell r="O23">
            <v>150</v>
          </cell>
          <cell r="P23">
            <v>3039.1670643274701</v>
          </cell>
          <cell r="Q23">
            <v>7020.7255728851596</v>
          </cell>
          <cell r="R23">
            <v>3434.7184920433301</v>
          </cell>
          <cell r="S23">
            <v>258735.44409259001</v>
          </cell>
          <cell r="T23">
            <v>16496.103747797599</v>
          </cell>
          <cell r="U23">
            <v>18255.324753930101</v>
          </cell>
          <cell r="V23">
            <v>5357.4872885913601</v>
          </cell>
          <cell r="W23">
            <v>325.67076714205803</v>
          </cell>
          <cell r="X23">
            <v>591.29516902664</v>
          </cell>
          <cell r="Y23">
            <v>2320</v>
          </cell>
          <cell r="Z23">
            <v>193614.13012763299</v>
          </cell>
          <cell r="AB23">
            <v>10.363459669582101</v>
          </cell>
        </row>
        <row r="24">
          <cell r="L24">
            <v>66473.118279569797</v>
          </cell>
          <cell r="M24">
            <v>150</v>
          </cell>
          <cell r="N24">
            <v>6787.8787878787798</v>
          </cell>
          <cell r="O24">
            <v>150</v>
          </cell>
          <cell r="P24">
            <v>3185.3771486273699</v>
          </cell>
          <cell r="Q24">
            <v>4078.73259721554</v>
          </cell>
          <cell r="R24">
            <v>1654.35745937961</v>
          </cell>
          <cell r="S24">
            <v>199976.53958944199</v>
          </cell>
          <cell r="T24">
            <v>17489.622641509301</v>
          </cell>
          <cell r="U24">
            <v>20097.7517106548</v>
          </cell>
          <cell r="V24">
            <v>9208.2111436950108</v>
          </cell>
          <cell r="W24">
            <v>1106.6037735849</v>
          </cell>
          <cell r="X24">
            <v>1612.9032258064501</v>
          </cell>
          <cell r="Y24">
            <v>1560</v>
          </cell>
          <cell r="Z24">
            <v>220191.59335288301</v>
          </cell>
          <cell r="AB24">
            <v>8.9031539888682598</v>
          </cell>
        </row>
        <row r="25">
          <cell r="L25">
            <v>50369.047619047597</v>
          </cell>
          <cell r="M25">
            <v>872.49999999999898</v>
          </cell>
          <cell r="N25">
            <v>2178.5714285714198</v>
          </cell>
          <cell r="O25">
            <v>1029.55741626794</v>
          </cell>
          <cell r="P25">
            <v>165</v>
          </cell>
          <cell r="Q25">
            <v>6423.8064094179199</v>
          </cell>
          <cell r="R25">
            <v>234.89932885906001</v>
          </cell>
          <cell r="S25">
            <v>283625</v>
          </cell>
          <cell r="T25">
            <v>17297.2972972973</v>
          </cell>
          <cell r="U25">
            <v>5521.8253968253903</v>
          </cell>
          <cell r="V25">
            <v>1083.3333333333301</v>
          </cell>
          <cell r="W25">
            <v>6779.9227799227801</v>
          </cell>
          <cell r="X25">
            <v>462.30158730158701</v>
          </cell>
          <cell r="Y25">
            <v>1895</v>
          </cell>
          <cell r="Z25">
            <v>185365.079365079</v>
          </cell>
          <cell r="AB25">
            <v>20.835969868173201</v>
          </cell>
        </row>
        <row r="26">
          <cell r="L26">
            <v>58968.955785512597</v>
          </cell>
          <cell r="M26">
            <v>760</v>
          </cell>
          <cell r="N26">
            <v>28308.5606773283</v>
          </cell>
          <cell r="O26">
            <v>150</v>
          </cell>
          <cell r="P26">
            <v>804.66886661523597</v>
          </cell>
          <cell r="Q26">
            <v>6045.3514739229004</v>
          </cell>
          <cell r="R26">
            <v>808.27994085756495</v>
          </cell>
          <cell r="S26">
            <v>72139.228598306596</v>
          </cell>
          <cell r="T26">
            <v>8405.0880626223097</v>
          </cell>
          <cell r="U26">
            <v>17460.018814675401</v>
          </cell>
          <cell r="V26">
            <v>938.85230479774202</v>
          </cell>
          <cell r="W26">
            <v>25227.0058708414</v>
          </cell>
          <cell r="X26">
            <v>611.47695202257705</v>
          </cell>
          <cell r="Y26">
            <v>3920</v>
          </cell>
          <cell r="Z26">
            <v>296605.832549388</v>
          </cell>
          <cell r="AB26">
            <v>36.604404873476902</v>
          </cell>
        </row>
        <row r="27">
          <cell r="L27">
            <v>54702.6022304832</v>
          </cell>
          <cell r="M27">
            <v>520</v>
          </cell>
          <cell r="N27">
            <v>4888.4758364312202</v>
          </cell>
          <cell r="O27">
            <v>417.39580224808498</v>
          </cell>
          <cell r="P27">
            <v>2273.43950392024</v>
          </cell>
          <cell r="Q27">
            <v>6050.3875968992197</v>
          </cell>
          <cell r="R27">
            <v>1303.0602171767</v>
          </cell>
          <cell r="S27">
            <v>268741.63568773202</v>
          </cell>
          <cell r="T27">
            <v>9457.6923076922994</v>
          </cell>
          <cell r="U27">
            <v>13613.382899628201</v>
          </cell>
          <cell r="V27">
            <v>6908.9219330855003</v>
          </cell>
          <cell r="W27">
            <v>2759.6153846153802</v>
          </cell>
          <cell r="X27">
            <v>230</v>
          </cell>
          <cell r="Y27">
            <v>2050</v>
          </cell>
          <cell r="Z27">
            <v>207778.81040892101</v>
          </cell>
          <cell r="AB27">
            <v>7.0157894736842099</v>
          </cell>
        </row>
        <row r="28">
          <cell r="L28">
            <v>56127.619047619002</v>
          </cell>
          <cell r="M28">
            <v>530</v>
          </cell>
          <cell r="N28">
            <v>4177.1428571428496</v>
          </cell>
          <cell r="O28">
            <v>474.930880159124</v>
          </cell>
          <cell r="P28">
            <v>2332.4415944746302</v>
          </cell>
          <cell r="Q28">
            <v>7025.4652301665001</v>
          </cell>
          <cell r="R28">
            <v>2221.1584490186601</v>
          </cell>
          <cell r="S28">
            <v>247468.57142857101</v>
          </cell>
          <cell r="T28">
            <v>11236.538461538399</v>
          </cell>
          <cell r="U28">
            <v>16300.9523809523</v>
          </cell>
          <cell r="V28">
            <v>5451.4285714285697</v>
          </cell>
          <cell r="W28">
            <v>2401.9230769230699</v>
          </cell>
          <cell r="X28">
            <v>634.28571428571399</v>
          </cell>
          <cell r="Y28">
            <v>2520</v>
          </cell>
          <cell r="Z28">
            <v>212862.85714285701</v>
          </cell>
          <cell r="AB28">
            <v>11.203820439350499</v>
          </cell>
        </row>
        <row r="29">
          <cell r="L29">
            <v>62420.664206642003</v>
          </cell>
          <cell r="M29">
            <v>150</v>
          </cell>
          <cell r="N29">
            <v>4175.2767527675196</v>
          </cell>
          <cell r="O29">
            <v>150</v>
          </cell>
          <cell r="P29">
            <v>1925.8488594476</v>
          </cell>
          <cell r="Q29">
            <v>4739.2996108949401</v>
          </cell>
          <cell r="R29">
            <v>1709.74155069582</v>
          </cell>
          <cell r="S29">
            <v>247429.88929889299</v>
          </cell>
          <cell r="T29">
            <v>9879.8486281929909</v>
          </cell>
          <cell r="U29">
            <v>18184.5018450184</v>
          </cell>
          <cell r="V29">
            <v>4136.53136531365</v>
          </cell>
          <cell r="W29">
            <v>3504.2573320718998</v>
          </cell>
          <cell r="X29">
            <v>619.926199261992</v>
          </cell>
          <cell r="Y29">
            <v>1739.99999999999</v>
          </cell>
          <cell r="Z29">
            <v>205985.23985239799</v>
          </cell>
          <cell r="AB29">
            <v>6.7284761904761901</v>
          </cell>
        </row>
        <row r="30">
          <cell r="L30">
            <v>55299.111549851899</v>
          </cell>
          <cell r="M30">
            <v>922</v>
          </cell>
          <cell r="N30">
            <v>15091.806515300899</v>
          </cell>
          <cell r="O30">
            <v>562.09972078181102</v>
          </cell>
          <cell r="P30">
            <v>4643.2197363058904</v>
          </cell>
          <cell r="Q30">
            <v>7690.6024096385399</v>
          </cell>
          <cell r="R30">
            <v>1475.0121300339599</v>
          </cell>
          <cell r="S30">
            <v>188918.06515300999</v>
          </cell>
          <cell r="T30">
            <v>11544.754571703499</v>
          </cell>
          <cell r="U30">
            <v>23638.6969397828</v>
          </cell>
          <cell r="V30">
            <v>2641.6584402764001</v>
          </cell>
          <cell r="W30">
            <v>17078.9220404234</v>
          </cell>
          <cell r="X30">
            <v>489.63474827245801</v>
          </cell>
          <cell r="Y30">
            <v>2440</v>
          </cell>
          <cell r="Z30">
            <v>219160.90819348401</v>
          </cell>
          <cell r="AB30">
            <v>4.0913861386138599</v>
          </cell>
        </row>
        <row r="31">
          <cell r="L31">
            <v>57494.634146341399</v>
          </cell>
          <cell r="M31">
            <v>306</v>
          </cell>
          <cell r="N31">
            <v>4240</v>
          </cell>
          <cell r="O31">
            <v>150</v>
          </cell>
          <cell r="P31">
            <v>1836.7590447514001</v>
          </cell>
          <cell r="Q31">
            <v>4135.6903965599604</v>
          </cell>
          <cell r="R31">
            <v>1966.23634558093</v>
          </cell>
          <cell r="S31">
            <v>240622.43902439001</v>
          </cell>
          <cell r="T31">
            <v>9100.8814887365297</v>
          </cell>
          <cell r="U31">
            <v>18187.3170731707</v>
          </cell>
          <cell r="V31">
            <v>3666.3414634146302</v>
          </cell>
          <cell r="W31">
            <v>3459.3535749265402</v>
          </cell>
          <cell r="X31">
            <v>230</v>
          </cell>
          <cell r="Y31">
            <v>1520</v>
          </cell>
          <cell r="Z31">
            <v>214368.780487804</v>
          </cell>
          <cell r="AB31">
            <v>7.93297560975609</v>
          </cell>
        </row>
        <row r="32">
          <cell r="L32">
            <v>12479.6675900277</v>
          </cell>
          <cell r="M32">
            <v>869</v>
          </cell>
          <cell r="N32">
            <v>16012.0036934441</v>
          </cell>
          <cell r="O32">
            <v>230.85285614594699</v>
          </cell>
          <cell r="P32">
            <v>1681.2071035695999</v>
          </cell>
          <cell r="Q32">
            <v>24539.056603773501</v>
          </cell>
          <cell r="R32">
            <v>571.14721811915297</v>
          </cell>
          <cell r="S32">
            <v>507200.36934441299</v>
          </cell>
          <cell r="T32">
            <v>3293.3070866141702</v>
          </cell>
          <cell r="U32">
            <v>3052.7608494921501</v>
          </cell>
          <cell r="V32">
            <v>1242.64265927977</v>
          </cell>
          <cell r="W32">
            <v>3790.3543307086602</v>
          </cell>
          <cell r="X32">
            <v>897.75253924284402</v>
          </cell>
          <cell r="Y32">
            <v>12400</v>
          </cell>
          <cell r="Z32">
            <v>79297.137580794006</v>
          </cell>
          <cell r="AA32">
            <v>3</v>
          </cell>
          <cell r="AB32">
            <v>28.192125825332202</v>
          </cell>
        </row>
        <row r="33">
          <cell r="L33">
            <v>56807.727690892301</v>
          </cell>
          <cell r="M33">
            <v>567</v>
          </cell>
          <cell r="N33">
            <v>3533.2658693652202</v>
          </cell>
          <cell r="O33">
            <v>368.46703132769699</v>
          </cell>
          <cell r="P33">
            <v>2067.7946239052098</v>
          </cell>
          <cell r="Q33">
            <v>4247.6340996168501</v>
          </cell>
          <cell r="R33">
            <v>1267.2562593261</v>
          </cell>
          <cell r="S33">
            <v>246472.86108555601</v>
          </cell>
          <cell r="T33">
            <v>13783.582089552199</v>
          </cell>
          <cell r="U33">
            <v>8509.4204231830699</v>
          </cell>
          <cell r="V33">
            <v>4438.8408463661399</v>
          </cell>
          <cell r="W33">
            <v>1326.4925373134299</v>
          </cell>
          <cell r="X33">
            <v>462.29254829806803</v>
          </cell>
          <cell r="Y33">
            <v>1930</v>
          </cell>
          <cell r="Z33">
            <v>208905.243790248</v>
          </cell>
          <cell r="AA33">
            <v>3</v>
          </cell>
          <cell r="AB33">
            <v>12.212212212212201</v>
          </cell>
        </row>
        <row r="34">
          <cell r="L34">
            <v>70061.389961389898</v>
          </cell>
          <cell r="M34">
            <v>478</v>
          </cell>
          <cell r="N34">
            <v>6843.4749034749002</v>
          </cell>
          <cell r="O34">
            <v>347.84150717703301</v>
          </cell>
          <cell r="P34">
            <v>3397.0006759114199</v>
          </cell>
          <cell r="Q34">
            <v>2693.0899435778201</v>
          </cell>
          <cell r="R34">
            <v>2588.23529411764</v>
          </cell>
          <cell r="S34">
            <v>231501.93050193001</v>
          </cell>
          <cell r="T34">
            <v>15848.3146067415</v>
          </cell>
          <cell r="U34">
            <v>22984.942084941998</v>
          </cell>
          <cell r="V34">
            <v>4317.6447876447801</v>
          </cell>
          <cell r="W34">
            <v>4312.7340823969998</v>
          </cell>
          <cell r="X34">
            <v>719.38803088803002</v>
          </cell>
          <cell r="Y34">
            <v>1429.99999999999</v>
          </cell>
          <cell r="Z34">
            <v>194656.37065637001</v>
          </cell>
          <cell r="AA34">
            <v>3</v>
          </cell>
          <cell r="AB34">
            <v>5.8939096267190498</v>
          </cell>
        </row>
        <row r="35">
          <cell r="L35">
            <v>37859.051306873102</v>
          </cell>
          <cell r="M35">
            <v>835.99999999999898</v>
          </cell>
          <cell r="N35">
            <v>28147.5314617617</v>
          </cell>
          <cell r="O35">
            <v>109.76011102299699</v>
          </cell>
          <cell r="P35">
            <v>2464.11496193319</v>
          </cell>
          <cell r="Q35">
            <v>19492.015968063799</v>
          </cell>
          <cell r="R35">
            <v>642.60998517053804</v>
          </cell>
          <cell r="S35">
            <v>323519.84511132498</v>
          </cell>
          <cell r="T35">
            <v>6527.8048780487798</v>
          </cell>
          <cell r="U35">
            <v>8192.1393998063795</v>
          </cell>
          <cell r="V35">
            <v>909.86060019361003</v>
          </cell>
          <cell r="W35">
            <v>15076.097560975601</v>
          </cell>
          <cell r="X35">
            <v>1263.0338818973801</v>
          </cell>
          <cell r="Y35">
            <v>18600</v>
          </cell>
          <cell r="Z35">
            <v>153235.43078412299</v>
          </cell>
          <cell r="AA35">
            <v>3</v>
          </cell>
          <cell r="AB35">
            <v>74.624060150375897</v>
          </cell>
        </row>
        <row r="36">
          <cell r="L36">
            <v>61565.259117082504</v>
          </cell>
          <cell r="M36">
            <v>415</v>
          </cell>
          <cell r="N36">
            <v>5916.2955854126603</v>
          </cell>
          <cell r="O36">
            <v>388.54239521473897</v>
          </cell>
          <cell r="P36">
            <v>2936.7940954301598</v>
          </cell>
          <cell r="Q36">
            <v>2905.06826009632</v>
          </cell>
          <cell r="R36">
            <v>1952.1717911176099</v>
          </cell>
          <cell r="S36">
            <v>251823.41650671701</v>
          </cell>
          <cell r="T36">
            <v>14187.1243014354</v>
          </cell>
          <cell r="U36">
            <v>6511.8618042226399</v>
          </cell>
          <cell r="V36">
            <v>7913.1094049904004</v>
          </cell>
          <cell r="W36">
            <v>1018.86222037851</v>
          </cell>
          <cell r="X36">
            <v>230</v>
          </cell>
          <cell r="Y36">
            <v>1530</v>
          </cell>
          <cell r="Z36">
            <v>203074.85604606499</v>
          </cell>
          <cell r="AA36">
            <v>3</v>
          </cell>
          <cell r="AB36">
            <v>5.2427184466019296</v>
          </cell>
        </row>
        <row r="37">
          <cell r="L37">
            <v>27451.844843897699</v>
          </cell>
          <cell r="M37">
            <v>740</v>
          </cell>
          <cell r="N37">
            <v>7512.6017029328204</v>
          </cell>
          <cell r="O37">
            <v>631.64992511233095</v>
          </cell>
          <cell r="P37">
            <v>1926.9467349072399</v>
          </cell>
          <cell r="Q37">
            <v>17089.365853658499</v>
          </cell>
          <cell r="R37">
            <v>4803.0739673390899</v>
          </cell>
          <cell r="S37">
            <v>422319.77294228802</v>
          </cell>
          <cell r="T37">
            <v>5602.7649769585196</v>
          </cell>
          <cell r="U37">
            <v>11355.402081362299</v>
          </cell>
          <cell r="V37">
            <v>9150.6906338694407</v>
          </cell>
          <cell r="W37">
            <v>155</v>
          </cell>
          <cell r="X37">
            <v>1007.41154210028</v>
          </cell>
          <cell r="Y37">
            <v>7850</v>
          </cell>
          <cell r="Z37">
            <v>121485.714285714</v>
          </cell>
          <cell r="AA37">
            <v>3</v>
          </cell>
          <cell r="AB37">
            <v>42.5572519083969</v>
          </cell>
        </row>
        <row r="38">
          <cell r="L38">
            <v>41014.498510427002</v>
          </cell>
          <cell r="M38">
            <v>386</v>
          </cell>
          <cell r="N38">
            <v>5696.4448857994003</v>
          </cell>
          <cell r="O38">
            <v>386.343335659454</v>
          </cell>
          <cell r="P38">
            <v>3042.3111907233701</v>
          </cell>
          <cell r="Q38">
            <v>10034.535229904001</v>
          </cell>
          <cell r="R38">
            <v>2395.2686052242402</v>
          </cell>
          <cell r="S38">
            <v>291370.40714994998</v>
          </cell>
          <cell r="T38">
            <v>7806.6666666666597</v>
          </cell>
          <cell r="U38">
            <v>17786.653426017801</v>
          </cell>
          <cell r="V38">
            <v>11973.5650446871</v>
          </cell>
          <cell r="W38">
            <v>381.90476190476102</v>
          </cell>
          <cell r="X38">
            <v>932.41112214498503</v>
          </cell>
          <cell r="Y38">
            <v>3479.99999999999</v>
          </cell>
          <cell r="Z38">
            <v>185067.328699106</v>
          </cell>
          <cell r="AA38">
            <v>3</v>
          </cell>
          <cell r="AB38">
            <v>16.890595009596801</v>
          </cell>
        </row>
        <row r="39">
          <cell r="L39">
            <v>60521.047526673101</v>
          </cell>
          <cell r="M39">
            <v>758</v>
          </cell>
          <cell r="N39">
            <v>11405.761396702201</v>
          </cell>
          <cell r="O39">
            <v>668.28605673192101</v>
          </cell>
          <cell r="P39">
            <v>4791.9485424947998</v>
          </cell>
          <cell r="Q39">
            <v>11397.704590818301</v>
          </cell>
          <cell r="R39">
            <v>5203.5749751737803</v>
          </cell>
          <cell r="S39">
            <v>282576.139670223</v>
          </cell>
          <cell r="T39">
            <v>21757.518796992401</v>
          </cell>
          <cell r="U39">
            <v>4712.4539282250198</v>
          </cell>
          <cell r="V39">
            <v>16474.141610087201</v>
          </cell>
          <cell r="W39">
            <v>155</v>
          </cell>
          <cell r="X39">
            <v>1210.94665373423</v>
          </cell>
          <cell r="Y39">
            <v>3580</v>
          </cell>
          <cell r="Z39">
            <v>166307.662463627</v>
          </cell>
          <cell r="AA39">
            <v>3</v>
          </cell>
          <cell r="AB39">
            <v>23.091976516633999</v>
          </cell>
        </row>
        <row r="40">
          <cell r="L40">
            <v>67681.954887218002</v>
          </cell>
          <cell r="M40">
            <v>399</v>
          </cell>
          <cell r="N40">
            <v>5584.4736842105203</v>
          </cell>
          <cell r="O40">
            <v>277.42328780779502</v>
          </cell>
          <cell r="P40">
            <v>2680.6880115329</v>
          </cell>
          <cell r="Q40">
            <v>2261.70537491705</v>
          </cell>
          <cell r="R40">
            <v>3485.9675036927601</v>
          </cell>
          <cell r="S40">
            <v>217763.15789473601</v>
          </cell>
          <cell r="T40">
            <v>20655</v>
          </cell>
          <cell r="U40">
            <v>11848.947368421001</v>
          </cell>
          <cell r="V40">
            <v>5930.2631578947303</v>
          </cell>
          <cell r="W40">
            <v>388.99999999999898</v>
          </cell>
          <cell r="X40">
            <v>1060.87593984962</v>
          </cell>
          <cell r="Y40">
            <v>777.99999999999898</v>
          </cell>
          <cell r="Z40">
            <v>214537.593984962</v>
          </cell>
          <cell r="AA40">
            <v>3</v>
          </cell>
          <cell r="AB40">
            <v>1</v>
          </cell>
        </row>
        <row r="41">
          <cell r="L41">
            <v>40273.679459264502</v>
          </cell>
          <cell r="M41">
            <v>150</v>
          </cell>
          <cell r="N41">
            <v>9242.8566886484696</v>
          </cell>
          <cell r="O41">
            <v>214.712968471148</v>
          </cell>
          <cell r="P41">
            <v>3027.7918874825</v>
          </cell>
          <cell r="Q41">
            <v>19242.522756826998</v>
          </cell>
          <cell r="R41">
            <v>7251.3473787359098</v>
          </cell>
          <cell r="S41">
            <v>345036.42469646002</v>
          </cell>
          <cell r="T41">
            <v>8890.0091659028403</v>
          </cell>
          <cell r="U41">
            <v>8983.5985154946593</v>
          </cell>
          <cell r="V41">
            <v>7478.9958676473698</v>
          </cell>
          <cell r="W41">
            <v>437.21356553620501</v>
          </cell>
          <cell r="X41">
            <v>1053.7324748789399</v>
          </cell>
          <cell r="Y41">
            <v>6080</v>
          </cell>
          <cell r="Z41">
            <v>155659.93188762499</v>
          </cell>
          <cell r="AA41">
            <v>3</v>
          </cell>
          <cell r="AB41">
            <v>33.808167141500398</v>
          </cell>
        </row>
        <row r="42">
          <cell r="L42">
            <v>66635.564053537193</v>
          </cell>
          <cell r="M42">
            <v>737</v>
          </cell>
          <cell r="N42">
            <v>3933.6902485659598</v>
          </cell>
          <cell r="O42">
            <v>495.22995717558001</v>
          </cell>
          <cell r="P42">
            <v>2008.25774744569</v>
          </cell>
          <cell r="Q42">
            <v>2433.6935166994099</v>
          </cell>
          <cell r="R42">
            <v>2107.8193297717298</v>
          </cell>
          <cell r="S42">
            <v>218728.48948374699</v>
          </cell>
          <cell r="T42">
            <v>14453.7487828627</v>
          </cell>
          <cell r="U42">
            <v>19942.829827915801</v>
          </cell>
          <cell r="V42">
            <v>4438.22179732313</v>
          </cell>
          <cell r="W42">
            <v>1269.7176241479999</v>
          </cell>
          <cell r="X42">
            <v>953.71128107074503</v>
          </cell>
          <cell r="Y42">
            <v>1030</v>
          </cell>
          <cell r="Z42">
            <v>207120.458891013</v>
          </cell>
          <cell r="AA42">
            <v>3</v>
          </cell>
          <cell r="AB42">
            <v>3.8572806171648999</v>
          </cell>
        </row>
        <row r="43">
          <cell r="L43">
            <v>57723.873441994103</v>
          </cell>
          <cell r="M43">
            <v>1310</v>
          </cell>
          <cell r="N43">
            <v>3052.59827420901</v>
          </cell>
          <cell r="O43">
            <v>1005.76443602273</v>
          </cell>
          <cell r="P43">
            <v>3043.0090458764298</v>
          </cell>
          <cell r="Q43">
            <v>3939.2755751345999</v>
          </cell>
          <cell r="R43">
            <v>1394.9013949013899</v>
          </cell>
          <cell r="S43">
            <v>259455.417066155</v>
          </cell>
          <cell r="T43">
            <v>22414.0845070422</v>
          </cell>
          <cell r="U43">
            <v>7222.1284755512897</v>
          </cell>
          <cell r="V43">
            <v>3187.80441035474</v>
          </cell>
          <cell r="W43">
            <v>648.82629107981199</v>
          </cell>
          <cell r="X43">
            <v>465.12943432406502</v>
          </cell>
          <cell r="Y43">
            <v>1960</v>
          </cell>
          <cell r="Z43">
            <v>194653.883029722</v>
          </cell>
          <cell r="AA43">
            <v>3</v>
          </cell>
          <cell r="AB43">
            <v>10.5560791705937</v>
          </cell>
        </row>
        <row r="44">
          <cell r="L44">
            <v>55876.430649854497</v>
          </cell>
          <cell r="M44">
            <v>436</v>
          </cell>
          <cell r="N44">
            <v>3439.7284190106702</v>
          </cell>
          <cell r="O44">
            <v>207.46422182468601</v>
          </cell>
          <cell r="P44">
            <v>1795.8966902769</v>
          </cell>
          <cell r="Q44">
            <v>3782.3722275795399</v>
          </cell>
          <cell r="R44">
            <v>1066.2824207492799</v>
          </cell>
          <cell r="S44">
            <v>255266.73132880701</v>
          </cell>
          <cell r="T44">
            <v>14484.1417910447</v>
          </cell>
          <cell r="U44">
            <v>8479.3016488845697</v>
          </cell>
          <cell r="V44">
            <v>3463.4917555771099</v>
          </cell>
          <cell r="W44">
            <v>507.46268656716398</v>
          </cell>
          <cell r="X44">
            <v>230</v>
          </cell>
          <cell r="Y44">
            <v>1530</v>
          </cell>
          <cell r="Z44">
            <v>199815.71290009699</v>
          </cell>
          <cell r="AA44">
            <v>3</v>
          </cell>
          <cell r="AB44">
            <v>14.8362235067437</v>
          </cell>
        </row>
        <row r="45">
          <cell r="L45">
            <v>29908.341323106401</v>
          </cell>
          <cell r="M45">
            <v>469</v>
          </cell>
          <cell r="N45">
            <v>21925.0239693191</v>
          </cell>
          <cell r="O45">
            <v>334.72582253240199</v>
          </cell>
          <cell r="P45">
            <v>2399.87898449965</v>
          </cell>
          <cell r="Q45">
            <v>34103.030303030297</v>
          </cell>
          <cell r="R45">
            <v>17949.728930507601</v>
          </cell>
          <cell r="S45">
            <v>395129.43432406499</v>
          </cell>
          <cell r="T45">
            <v>10564.7517039922</v>
          </cell>
          <cell r="U45">
            <v>8376.4717162032503</v>
          </cell>
          <cell r="V45">
            <v>5160.6711409395903</v>
          </cell>
          <cell r="W45">
            <v>155</v>
          </cell>
          <cell r="X45">
            <v>1038.5810162991299</v>
          </cell>
          <cell r="Y45">
            <v>11100</v>
          </cell>
          <cell r="Z45">
            <v>103510.642377756</v>
          </cell>
          <cell r="AA45">
            <v>3</v>
          </cell>
          <cell r="AB45">
            <v>40.7843137254902</v>
          </cell>
        </row>
        <row r="46">
          <cell r="L46">
            <v>63503.800442233201</v>
          </cell>
          <cell r="M46">
            <v>775</v>
          </cell>
          <cell r="N46">
            <v>15297.470978441101</v>
          </cell>
          <cell r="O46">
            <v>372.35649674651302</v>
          </cell>
          <cell r="P46">
            <v>541.05583848599099</v>
          </cell>
          <cell r="Q46">
            <v>3290.72435267125</v>
          </cell>
          <cell r="R46">
            <v>896.24939113492405</v>
          </cell>
          <cell r="S46">
            <v>34711.788280818102</v>
          </cell>
          <cell r="T46">
            <v>23872.123627989</v>
          </cell>
          <cell r="U46">
            <v>9386.6777224986108</v>
          </cell>
          <cell r="V46">
            <v>265</v>
          </cell>
          <cell r="W46">
            <v>16373.9349505271</v>
          </cell>
          <cell r="X46">
            <v>230</v>
          </cell>
          <cell r="Y46">
            <v>1500</v>
          </cell>
          <cell r="Z46">
            <v>332333.54063018202</v>
          </cell>
          <cell r="AB46">
            <v>30.9007940282806</v>
          </cell>
        </row>
        <row r="47">
          <cell r="L47">
            <v>75070.555032925593</v>
          </cell>
          <cell r="M47">
            <v>150</v>
          </cell>
          <cell r="N47">
            <v>11966.133584195501</v>
          </cell>
          <cell r="O47">
            <v>490.011573381223</v>
          </cell>
          <cell r="P47">
            <v>1327.2654465517501</v>
          </cell>
          <cell r="Q47">
            <v>3626.22950819672</v>
          </cell>
          <cell r="R47">
            <v>1266.31222812953</v>
          </cell>
          <cell r="S47">
            <v>162652.86923800499</v>
          </cell>
          <cell r="T47">
            <v>14528.2296650717</v>
          </cell>
          <cell r="U47">
            <v>34261.523988711102</v>
          </cell>
          <cell r="V47">
            <v>2088.42897460018</v>
          </cell>
          <cell r="W47">
            <v>2222.9665071770301</v>
          </cell>
          <cell r="X47">
            <v>230</v>
          </cell>
          <cell r="Y47">
            <v>1100</v>
          </cell>
          <cell r="Z47">
            <v>233414.86359360299</v>
          </cell>
          <cell r="AB47">
            <v>4.5409674234945596</v>
          </cell>
        </row>
        <row r="48">
          <cell r="L48">
            <v>66056.603773584895</v>
          </cell>
          <cell r="M48">
            <v>1310</v>
          </cell>
          <cell r="N48">
            <v>943.39622641509402</v>
          </cell>
          <cell r="O48">
            <v>1450.5210720334601</v>
          </cell>
          <cell r="P48">
            <v>991.90178277665098</v>
          </cell>
          <cell r="Q48">
            <v>5087.2359963269</v>
          </cell>
          <cell r="R48">
            <v>97.323600973235997</v>
          </cell>
          <cell r="S48">
            <v>284660.37735849002</v>
          </cell>
          <cell r="T48">
            <v>4110.7927411652299</v>
          </cell>
          <cell r="U48">
            <v>11169.811320754599</v>
          </cell>
          <cell r="V48">
            <v>2830.1886792452801</v>
          </cell>
          <cell r="W48">
            <v>155</v>
          </cell>
          <cell r="X48">
            <v>230</v>
          </cell>
          <cell r="Y48">
            <v>2150</v>
          </cell>
          <cell r="Z48">
            <v>177264.150943396</v>
          </cell>
          <cell r="AB48">
            <v>12.4879923150816</v>
          </cell>
        </row>
        <row r="49">
          <cell r="L49">
            <v>37273.593898951302</v>
          </cell>
          <cell r="M49">
            <v>341</v>
          </cell>
          <cell r="N49">
            <v>6024.7855100095303</v>
          </cell>
          <cell r="O49">
            <v>457.71383084577099</v>
          </cell>
          <cell r="P49">
            <v>165</v>
          </cell>
          <cell r="Q49">
            <v>31608.654750705398</v>
          </cell>
          <cell r="R49">
            <v>537.17026378896799</v>
          </cell>
          <cell r="S49">
            <v>356110.581506196</v>
          </cell>
          <cell r="T49">
            <v>4026.8972142171001</v>
          </cell>
          <cell r="U49">
            <v>7740.7054337464197</v>
          </cell>
          <cell r="V49">
            <v>1163.0123927550001</v>
          </cell>
          <cell r="W49">
            <v>12952.92987512</v>
          </cell>
          <cell r="X49">
            <v>1677.78836987606</v>
          </cell>
          <cell r="Y49">
            <v>16700</v>
          </cell>
          <cell r="Z49">
            <v>140305.05243088599</v>
          </cell>
          <cell r="AB49">
            <v>99.528746465598502</v>
          </cell>
        </row>
        <row r="50">
          <cell r="L50">
            <v>66725.317693059595</v>
          </cell>
          <cell r="M50">
            <v>150</v>
          </cell>
          <cell r="N50">
            <v>6803.51906158356</v>
          </cell>
          <cell r="O50">
            <v>515.89221140472796</v>
          </cell>
          <cell r="P50">
            <v>1665.9668637263201</v>
          </cell>
          <cell r="Q50">
            <v>3123.7721021610901</v>
          </cell>
          <cell r="R50">
            <v>1421.0777300906</v>
          </cell>
          <cell r="S50">
            <v>225728.25024437901</v>
          </cell>
          <cell r="T50">
            <v>14589.473684210499</v>
          </cell>
          <cell r="U50">
            <v>17849.4623655914</v>
          </cell>
          <cell r="V50">
            <v>3577.7126099706702</v>
          </cell>
          <cell r="W50">
            <v>1405.7416267942499</v>
          </cell>
          <cell r="X50">
            <v>977.51710654936403</v>
          </cell>
          <cell r="Y50">
            <v>1090</v>
          </cell>
          <cell r="Z50">
            <v>202991.20234604101</v>
          </cell>
          <cell r="AB50">
            <v>10.7243650047036</v>
          </cell>
        </row>
        <row r="51">
          <cell r="L51">
            <v>56679.764243614904</v>
          </cell>
          <cell r="M51">
            <v>332</v>
          </cell>
          <cell r="N51">
            <v>5166.9941060903702</v>
          </cell>
          <cell r="O51">
            <v>621.32716417910399</v>
          </cell>
          <cell r="P51">
            <v>3837.5088837963899</v>
          </cell>
          <cell r="Q51">
            <v>4842.7073403241102</v>
          </cell>
          <cell r="R51">
            <v>2692.3076923076901</v>
          </cell>
          <cell r="S51">
            <v>269842.82907661999</v>
          </cell>
          <cell r="T51">
            <v>25583.892617449601</v>
          </cell>
          <cell r="U51">
            <v>5265.2259332023496</v>
          </cell>
          <cell r="V51">
            <v>4165.0294695481298</v>
          </cell>
          <cell r="W51">
            <v>1251.19846596356</v>
          </cell>
          <cell r="X51">
            <v>230</v>
          </cell>
          <cell r="Y51">
            <v>1510</v>
          </cell>
          <cell r="Z51">
            <v>193222.00392927299</v>
          </cell>
          <cell r="AB51">
            <v>8.5795996186844601</v>
          </cell>
        </row>
        <row r="52">
          <cell r="L52">
            <v>45616.438356164297</v>
          </cell>
          <cell r="M52">
            <v>1090</v>
          </cell>
          <cell r="N52">
            <v>15694.7162426614</v>
          </cell>
          <cell r="O52">
            <v>1249.6647766835699</v>
          </cell>
          <cell r="P52">
            <v>3089.16812219228</v>
          </cell>
          <cell r="Q52">
            <v>16003.8424591738</v>
          </cell>
          <cell r="R52">
            <v>8128.9081289081196</v>
          </cell>
          <cell r="S52">
            <v>320763.20939334598</v>
          </cell>
          <cell r="T52">
            <v>15292.899408284</v>
          </cell>
          <cell r="U52">
            <v>11389.432485322901</v>
          </cell>
          <cell r="V52">
            <v>9315.0684931506803</v>
          </cell>
          <cell r="W52">
            <v>388.56015779092701</v>
          </cell>
          <cell r="X52">
            <v>802.34833659491198</v>
          </cell>
          <cell r="Y52">
            <v>4390</v>
          </cell>
          <cell r="Z52">
            <v>151996.086105675</v>
          </cell>
          <cell r="AB52">
            <v>21.152030217185999</v>
          </cell>
        </row>
        <row r="53">
          <cell r="L53">
            <v>22952.101661779001</v>
          </cell>
          <cell r="M53">
            <v>150</v>
          </cell>
          <cell r="N53">
            <v>19550.342130987199</v>
          </cell>
          <cell r="O53">
            <v>365.19581256231299</v>
          </cell>
          <cell r="P53">
            <v>1440.4756381268401</v>
          </cell>
          <cell r="Q53">
            <v>45210.237659963299</v>
          </cell>
          <cell r="R53">
            <v>10771.456123432899</v>
          </cell>
          <cell r="S53">
            <v>425865.10263929598</v>
          </cell>
          <cell r="T53">
            <v>6229.2682926829202</v>
          </cell>
          <cell r="U53">
            <v>13020.5278592375</v>
          </cell>
          <cell r="V53">
            <v>6510.2639296187599</v>
          </cell>
          <cell r="W53">
            <v>628.292682926829</v>
          </cell>
          <cell r="X53">
            <v>860.21505376343998</v>
          </cell>
          <cell r="Y53">
            <v>14000</v>
          </cell>
          <cell r="Z53">
            <v>95053.763440860203</v>
          </cell>
          <cell r="AB53">
            <v>33.464566929133703</v>
          </cell>
        </row>
        <row r="54">
          <cell r="L54">
            <v>70414.312617702395</v>
          </cell>
          <cell r="M54">
            <v>150</v>
          </cell>
          <cell r="N54">
            <v>36327.683615819202</v>
          </cell>
          <cell r="O54">
            <v>370.96555843121598</v>
          </cell>
          <cell r="P54">
            <v>2751.0943740677799</v>
          </cell>
          <cell r="Q54">
            <v>2154.6961325966799</v>
          </cell>
          <cell r="R54">
            <v>933.58999037536</v>
          </cell>
          <cell r="S54">
            <v>144821.09227871901</v>
          </cell>
          <cell r="T54">
            <v>20875.580315691699</v>
          </cell>
          <cell r="U54">
            <v>31431.261770244801</v>
          </cell>
          <cell r="V54">
            <v>1657.2504708097899</v>
          </cell>
          <cell r="W54">
            <v>3157.8458681522702</v>
          </cell>
          <cell r="X54">
            <v>470.80979284369101</v>
          </cell>
          <cell r="Y54">
            <v>572</v>
          </cell>
          <cell r="Z54">
            <v>214896.42184557399</v>
          </cell>
          <cell r="AB54">
            <v>1</v>
          </cell>
        </row>
        <row r="55">
          <cell r="L55">
            <v>59870.370370370299</v>
          </cell>
          <cell r="M55">
            <v>680.99999999999898</v>
          </cell>
          <cell r="N55">
            <v>10703.703703703601</v>
          </cell>
          <cell r="O55">
            <v>497.50274588117799</v>
          </cell>
          <cell r="P55">
            <v>4817.5515026141902</v>
          </cell>
          <cell r="Q55">
            <v>3441.2580943570701</v>
          </cell>
          <cell r="R55">
            <v>1477.5470787059301</v>
          </cell>
          <cell r="S55">
            <v>201870.37037036999</v>
          </cell>
          <cell r="T55">
            <v>18750</v>
          </cell>
          <cell r="U55">
            <v>7388.8888888888796</v>
          </cell>
          <cell r="V55">
            <v>2500</v>
          </cell>
          <cell r="W55">
            <v>15333.661417322801</v>
          </cell>
          <cell r="X55">
            <v>500</v>
          </cell>
          <cell r="Y55">
            <v>2320</v>
          </cell>
          <cell r="Z55">
            <v>218407.40740740599</v>
          </cell>
          <cell r="AB55">
            <v>106.213592233009</v>
          </cell>
        </row>
        <row r="56">
          <cell r="L56">
            <v>59255.014326647499</v>
          </cell>
          <cell r="M56">
            <v>560</v>
          </cell>
          <cell r="N56">
            <v>18548.233046800298</v>
          </cell>
          <cell r="O56">
            <v>150</v>
          </cell>
          <cell r="P56">
            <v>516.15697828464704</v>
          </cell>
          <cell r="Q56">
            <v>5491.7491749174897</v>
          </cell>
          <cell r="R56">
            <v>1742.0596727622701</v>
          </cell>
          <cell r="S56">
            <v>90487.106017191894</v>
          </cell>
          <cell r="T56">
            <v>10868.035190615799</v>
          </cell>
          <cell r="U56">
            <v>40630.372492836599</v>
          </cell>
          <cell r="V56">
            <v>706.78127984718196</v>
          </cell>
          <cell r="W56">
            <v>1999.0224828934499</v>
          </cell>
          <cell r="X56">
            <v>573.065902578796</v>
          </cell>
          <cell r="Y56">
            <v>2460</v>
          </cell>
          <cell r="Z56">
            <v>265539.63705826103</v>
          </cell>
          <cell r="AB56">
            <v>17.931034482758601</v>
          </cell>
        </row>
        <row r="57">
          <cell r="L57">
            <v>60688.336520076402</v>
          </cell>
          <cell r="M57">
            <v>150</v>
          </cell>
          <cell r="N57">
            <v>12657.7437858507</v>
          </cell>
          <cell r="O57">
            <v>150</v>
          </cell>
          <cell r="P57">
            <v>1136.29967942386</v>
          </cell>
          <cell r="Q57">
            <v>1793.01252471984</v>
          </cell>
          <cell r="R57">
            <v>878.80251086431599</v>
          </cell>
          <cell r="S57">
            <v>212982.79158699699</v>
          </cell>
          <cell r="T57">
            <v>4181.0506566604099</v>
          </cell>
          <cell r="U57">
            <v>42351.816443594602</v>
          </cell>
          <cell r="V57">
            <v>5200.7648183556403</v>
          </cell>
          <cell r="W57">
            <v>155</v>
          </cell>
          <cell r="X57">
            <v>230</v>
          </cell>
          <cell r="Y57">
            <v>558</v>
          </cell>
          <cell r="Z57">
            <v>205678.77629063101</v>
          </cell>
          <cell r="AB57">
            <v>1</v>
          </cell>
        </row>
        <row r="58">
          <cell r="L58">
            <v>53065.9025787965</v>
          </cell>
          <cell r="M58">
            <v>310</v>
          </cell>
          <cell r="N58">
            <v>8634.1929321871994</v>
          </cell>
          <cell r="O58">
            <v>576.343746900724</v>
          </cell>
          <cell r="P58">
            <v>4834.7886311950997</v>
          </cell>
          <cell r="Q58">
            <v>4377.35849056603</v>
          </cell>
          <cell r="R58">
            <v>5569.8617072007601</v>
          </cell>
          <cell r="S58">
            <v>260592.168099331</v>
          </cell>
          <cell r="T58">
            <v>25383.040935672499</v>
          </cell>
          <cell r="U58">
            <v>16905.444126074501</v>
          </cell>
          <cell r="V58">
            <v>5711.5568290353303</v>
          </cell>
          <cell r="W58">
            <v>705.65302144249495</v>
          </cell>
          <cell r="X58">
            <v>553.96370582616998</v>
          </cell>
          <cell r="Y58">
            <v>1130</v>
          </cell>
          <cell r="Z58">
            <v>180916.90544412599</v>
          </cell>
          <cell r="AB58">
            <v>8.7954110898661497</v>
          </cell>
        </row>
        <row r="59">
          <cell r="L59">
            <v>67533.460803059206</v>
          </cell>
          <cell r="M59">
            <v>396</v>
          </cell>
          <cell r="N59">
            <v>20458.891013384298</v>
          </cell>
          <cell r="O59">
            <v>432.96687287966398</v>
          </cell>
          <cell r="P59">
            <v>2651.0403833249602</v>
          </cell>
          <cell r="Q59">
            <v>3069.8529411764698</v>
          </cell>
          <cell r="R59">
            <v>2200.2960039467098</v>
          </cell>
          <cell r="S59">
            <v>180898.66156787699</v>
          </cell>
          <cell r="T59">
            <v>17296.511627906901</v>
          </cell>
          <cell r="U59">
            <v>18718.9292543021</v>
          </cell>
          <cell r="V59">
            <v>5602.2944550669199</v>
          </cell>
          <cell r="W59">
            <v>2687.0155038759499</v>
          </cell>
          <cell r="X59">
            <v>535.37284894837398</v>
          </cell>
          <cell r="Y59">
            <v>848</v>
          </cell>
          <cell r="Z59">
            <v>222791.58699808799</v>
          </cell>
          <cell r="AB59">
            <v>4.4358727097396304</v>
          </cell>
        </row>
        <row r="60">
          <cell r="L60">
            <v>55460.8523290386</v>
          </cell>
          <cell r="M60">
            <v>150</v>
          </cell>
          <cell r="N60">
            <v>6739.3458870168397</v>
          </cell>
          <cell r="O60">
            <v>336.876425666964</v>
          </cell>
          <cell r="P60">
            <v>3130.7878051744001</v>
          </cell>
          <cell r="Q60">
            <v>4169.8113207547103</v>
          </cell>
          <cell r="R60">
            <v>2833.1688055281302</v>
          </cell>
          <cell r="S60">
            <v>210862.23984142701</v>
          </cell>
          <cell r="T60">
            <v>23927.563499529599</v>
          </cell>
          <cell r="U60">
            <v>10644.2021803766</v>
          </cell>
          <cell r="V60">
            <v>5173.4390485629301</v>
          </cell>
          <cell r="W60">
            <v>155</v>
          </cell>
          <cell r="X60">
            <v>1367.69078295341</v>
          </cell>
          <cell r="Y60">
            <v>1230</v>
          </cell>
          <cell r="Z60">
            <v>216848.36471754199</v>
          </cell>
          <cell r="AB60">
            <v>7.5581395348837201</v>
          </cell>
        </row>
        <row r="61">
          <cell r="L61">
            <v>48804.664723032001</v>
          </cell>
          <cell r="M61">
            <v>150</v>
          </cell>
          <cell r="N61">
            <v>6122.4489795918298</v>
          </cell>
          <cell r="O61">
            <v>383.19952257807802</v>
          </cell>
          <cell r="P61">
            <v>2201.3398849631999</v>
          </cell>
          <cell r="Q61">
            <v>5475.2851711026597</v>
          </cell>
          <cell r="R61">
            <v>1937.34939759036</v>
          </cell>
          <cell r="S61">
            <v>238425.655976676</v>
          </cell>
          <cell r="T61">
            <v>15747.8260869565</v>
          </cell>
          <cell r="U61">
            <v>9368.3187560738497</v>
          </cell>
          <cell r="V61">
            <v>5344.9951409135001</v>
          </cell>
          <cell r="W61">
            <v>155</v>
          </cell>
          <cell r="X61">
            <v>738.58114674441197</v>
          </cell>
          <cell r="Y61">
            <v>1770</v>
          </cell>
          <cell r="Z61">
            <v>205072.88629737601</v>
          </cell>
          <cell r="AB61">
            <v>7.51173708920187</v>
          </cell>
        </row>
      </sheetData>
      <sheetData sheetId="1"/>
      <sheetData sheetId="2">
        <row r="2">
          <cell r="S2">
            <v>27.930178716407411</v>
          </cell>
          <cell r="U2">
            <v>0.96296716417910388</v>
          </cell>
          <cell r="V2">
            <v>0.27900000000000003</v>
          </cell>
          <cell r="AC2">
            <v>0.331341764420647</v>
          </cell>
          <cell r="AG2">
            <v>1.55E-2</v>
          </cell>
          <cell r="AI2">
            <v>18.303500337561701</v>
          </cell>
          <cell r="AK2">
            <v>3.5842293906810032</v>
          </cell>
          <cell r="AL2">
            <v>3.0180318552613064</v>
          </cell>
        </row>
        <row r="3">
          <cell r="S3">
            <v>27.729100405321859</v>
          </cell>
          <cell r="U3">
            <v>0.31860128776621999</v>
          </cell>
          <cell r="V3">
            <v>7.2400000000000006E-2</v>
          </cell>
          <cell r="AC3">
            <v>0.73587914871568105</v>
          </cell>
          <cell r="AG3">
            <v>3.8831594488188896E-2</v>
          </cell>
          <cell r="AI3">
            <v>22.6433365292425</v>
          </cell>
          <cell r="AK3">
            <v>13.812154696132595</v>
          </cell>
          <cell r="AL3">
            <v>1.3589187867943875</v>
          </cell>
        </row>
        <row r="4">
          <cell r="S4">
            <v>27.930807524470119</v>
          </cell>
          <cell r="U4">
            <v>0.32577926421404602</v>
          </cell>
          <cell r="V4">
            <v>0.1055</v>
          </cell>
          <cell r="AC4">
            <v>0.30938650936808898</v>
          </cell>
          <cell r="AG4">
            <v>0.16084874759152201</v>
          </cell>
          <cell r="AI4">
            <v>21.5387677725118</v>
          </cell>
          <cell r="AK4">
            <v>9.4786729857819907</v>
          </cell>
          <cell r="AL4">
            <v>3.2322029879145822</v>
          </cell>
        </row>
        <row r="5">
          <cell r="S5">
            <v>25.250832363476192</v>
          </cell>
          <cell r="U5">
            <v>0.44947982498784605</v>
          </cell>
          <cell r="V5">
            <v>0.14299999999999899</v>
          </cell>
          <cell r="AC5">
            <v>0.55551719373476793</v>
          </cell>
          <cell r="AG5">
            <v>3.45348249027237E-2</v>
          </cell>
          <cell r="AI5">
            <v>19.477272727272702</v>
          </cell>
          <cell r="AK5">
            <v>6.9930069930070422</v>
          </cell>
          <cell r="AL5">
            <v>1.8001243008824865</v>
          </cell>
        </row>
        <row r="6">
          <cell r="S6">
            <v>24.237359178064597</v>
          </cell>
          <cell r="U6">
            <v>0.31479904306220102</v>
          </cell>
          <cell r="V6">
            <v>7.4499999999999997E-2</v>
          </cell>
          <cell r="AC6">
            <v>0.43454313273792905</v>
          </cell>
          <cell r="AG6">
            <v>0.16860765550239201</v>
          </cell>
          <cell r="AI6">
            <v>20.530842911877301</v>
          </cell>
          <cell r="AK6">
            <v>13.422818791946309</v>
          </cell>
          <cell r="AL6">
            <v>2.3012675259629414</v>
          </cell>
        </row>
        <row r="7">
          <cell r="S7">
            <v>26.530706474272229</v>
          </cell>
          <cell r="U7">
            <v>0.45886040693295199</v>
          </cell>
          <cell r="V7">
            <v>0.14099999999999899</v>
          </cell>
          <cell r="AC7">
            <v>0.51371060114852596</v>
          </cell>
          <cell r="AG7">
            <v>9.3263401109057301E-2</v>
          </cell>
          <cell r="AI7">
            <v>20.044776119403</v>
          </cell>
          <cell r="AK7">
            <v>7.0921985815603348</v>
          </cell>
          <cell r="AL7">
            <v>1.946621303442551</v>
          </cell>
        </row>
        <row r="8">
          <cell r="S8">
            <v>26.828979964456757</v>
          </cell>
          <cell r="U8">
            <v>0.37390773809523797</v>
          </cell>
          <cell r="V8">
            <v>0.113</v>
          </cell>
          <cell r="AC8">
            <v>0.41487732778880199</v>
          </cell>
          <cell r="AG8">
            <v>5.9966043030869901E-2</v>
          </cell>
          <cell r="AI8">
            <v>20.177132146204301</v>
          </cell>
          <cell r="AK8">
            <v>8.8495575221238933</v>
          </cell>
          <cell r="AL8">
            <v>2.4103510435958588</v>
          </cell>
        </row>
        <row r="9">
          <cell r="S9">
            <v>24.828728775671649</v>
          </cell>
          <cell r="U9">
            <v>0.46969798657718104</v>
          </cell>
          <cell r="V9">
            <v>0.13600000000000001</v>
          </cell>
          <cell r="AC9">
            <v>0.23617245465176401</v>
          </cell>
          <cell r="AG9">
            <v>6.04592142188961E-2</v>
          </cell>
          <cell r="AI9">
            <v>21.330987292277602</v>
          </cell>
          <cell r="AK9">
            <v>7.3529411764705879</v>
          </cell>
          <cell r="AL9">
            <v>4.2341940404290535</v>
          </cell>
        </row>
        <row r="10">
          <cell r="S10">
            <v>24.985578380173227</v>
          </cell>
          <cell r="U10">
            <v>0.33045955002393296</v>
          </cell>
          <cell r="V10">
            <v>9.3700000000000006E-2</v>
          </cell>
          <cell r="AC10">
            <v>0.66766637222417402</v>
          </cell>
          <cell r="AG10">
            <v>4.00248789932236E-2</v>
          </cell>
          <cell r="AI10">
            <v>22.5508604206501</v>
          </cell>
          <cell r="AK10">
            <v>10.672358591248665</v>
          </cell>
          <cell r="AL10">
            <v>1.4977540304579582</v>
          </cell>
        </row>
        <row r="11">
          <cell r="S11">
            <v>23.346387590308815</v>
          </cell>
          <cell r="U11">
            <v>0.67954375896700103</v>
          </cell>
          <cell r="V11">
            <v>0.29899999999999999</v>
          </cell>
          <cell r="AC11">
            <v>0.31980124298266199</v>
          </cell>
          <cell r="AG11">
            <v>1.55E-2</v>
          </cell>
          <cell r="AI11">
            <v>12.451411879259899</v>
          </cell>
          <cell r="AK11">
            <v>3.3444816053511706</v>
          </cell>
          <cell r="AL11">
            <v>3.1269421928238565</v>
          </cell>
        </row>
        <row r="12">
          <cell r="S12">
            <v>22.428453231568589</v>
          </cell>
          <cell r="U12">
            <v>2.0371884057970902</v>
          </cell>
          <cell r="V12">
            <v>0.60399999999999998</v>
          </cell>
          <cell r="AC12">
            <v>0.29870604604092499</v>
          </cell>
          <cell r="AG12">
            <v>1.55E-2</v>
          </cell>
          <cell r="AI12">
            <v>14.028406909788799</v>
          </cell>
          <cell r="AK12">
            <v>1.6556291390728477</v>
          </cell>
          <cell r="AL12">
            <v>3.3477728799067981</v>
          </cell>
        </row>
        <row r="13">
          <cell r="S13">
            <v>25.58977191974553</v>
          </cell>
          <cell r="U13">
            <v>0.49295853423336505</v>
          </cell>
          <cell r="V13">
            <v>0.17899999999999999</v>
          </cell>
          <cell r="AC13">
            <v>0.72299575493044899</v>
          </cell>
          <cell r="AG13">
            <v>7.5033791208791195E-2</v>
          </cell>
          <cell r="AI13">
            <v>19.9576109223099</v>
          </cell>
          <cell r="AK13">
            <v>5.5865921787709496</v>
          </cell>
          <cell r="AL13">
            <v>1.3831339854771323</v>
          </cell>
        </row>
        <row r="14">
          <cell r="S14">
            <v>25.477125928727091</v>
          </cell>
          <cell r="U14">
            <v>0.88983713355048799</v>
          </cell>
          <cell r="V14">
            <v>0.307</v>
          </cell>
          <cell r="AC14">
            <v>4.42401203209314E-2</v>
          </cell>
          <cell r="AG14">
            <v>0.75606445260593502</v>
          </cell>
          <cell r="AI14">
            <v>31.1339753482725</v>
          </cell>
          <cell r="AK14">
            <v>3.2573289902280131</v>
          </cell>
          <cell r="AL14">
            <v>22.603916823591195</v>
          </cell>
        </row>
        <row r="15">
          <cell r="S15">
            <v>27.11118865823039</v>
          </cell>
          <cell r="U15">
            <v>0.47914230019493098</v>
          </cell>
          <cell r="V15">
            <v>0.12</v>
          </cell>
          <cell r="AC15">
            <v>0.69147994295766801</v>
          </cell>
          <cell r="AG15">
            <v>0.35009861932938802</v>
          </cell>
          <cell r="AI15">
            <v>23.244965786901201</v>
          </cell>
          <cell r="AK15">
            <v>8.3333333333333339</v>
          </cell>
          <cell r="AL15">
            <v>1.4461735444164856</v>
          </cell>
        </row>
        <row r="16">
          <cell r="S16">
            <v>27.008835989797479</v>
          </cell>
          <cell r="U16">
            <v>0.61199999999999999</v>
          </cell>
          <cell r="V16">
            <v>0.22500000000000001</v>
          </cell>
          <cell r="AC16">
            <v>0.28506306904935502</v>
          </cell>
          <cell r="AG16">
            <v>0.28196405585182699</v>
          </cell>
          <cell r="AI16">
            <v>22.2914728682169</v>
          </cell>
          <cell r="AK16">
            <v>4.4444444444444446</v>
          </cell>
          <cell r="AL16">
            <v>3.5079956282476661</v>
          </cell>
        </row>
        <row r="17">
          <cell r="S17">
            <v>26.791596744192674</v>
          </cell>
          <cell r="U17">
            <v>1.45060009601536</v>
          </cell>
          <cell r="V17">
            <v>0.47199999999999998</v>
          </cell>
          <cell r="AC17">
            <v>0.52195570943316094</v>
          </cell>
          <cell r="AG17">
            <v>4.5295152091254696E-2</v>
          </cell>
          <cell r="AI17">
            <v>15.9374880153403</v>
          </cell>
          <cell r="AK17">
            <v>2.1186440677966103</v>
          </cell>
          <cell r="AL17">
            <v>1.9158713697872771</v>
          </cell>
        </row>
        <row r="18">
          <cell r="S18">
            <v>24.531164754259549</v>
          </cell>
          <cell r="U18">
            <v>0.34705301284161999</v>
          </cell>
          <cell r="V18">
            <v>0.113</v>
          </cell>
          <cell r="AC18">
            <v>0.29043026129166899</v>
          </cell>
          <cell r="AG18">
            <v>1.77711864406779</v>
          </cell>
          <cell r="AI18">
            <v>22.977843137254901</v>
          </cell>
          <cell r="AK18">
            <v>8.8495575221238933</v>
          </cell>
          <cell r="AL18">
            <v>3.4431673736495898</v>
          </cell>
        </row>
        <row r="19">
          <cell r="S19">
            <v>22.626088267105526</v>
          </cell>
          <cell r="U19">
            <v>2.64720149253731</v>
          </cell>
          <cell r="V19">
            <v>1.1200000000000001</v>
          </cell>
          <cell r="AC19">
            <v>9.8760515743670799E-2</v>
          </cell>
          <cell r="AG19">
            <v>6.7484962406014995E-2</v>
          </cell>
          <cell r="AI19">
            <v>12.2186274509803</v>
          </cell>
          <cell r="AK19">
            <v>0.89285714285714279</v>
          </cell>
          <cell r="AL19">
            <v>10.125504028304817</v>
          </cell>
        </row>
        <row r="20">
          <cell r="S20">
            <v>21.94698638357211</v>
          </cell>
          <cell r="U20">
            <v>0.45352756243944897</v>
          </cell>
          <cell r="V20">
            <v>0.158</v>
          </cell>
          <cell r="AC20">
            <v>0</v>
          </cell>
          <cell r="AG20">
            <v>1.55E-2</v>
          </cell>
          <cell r="AI20">
            <v>25.2131679389312</v>
          </cell>
          <cell r="AK20">
            <v>6.3291139240506329</v>
          </cell>
        </row>
        <row r="21">
          <cell r="S21">
            <v>27.251738389979071</v>
          </cell>
          <cell r="U21">
            <v>0.54246575342465708</v>
          </cell>
          <cell r="V21">
            <v>0.17</v>
          </cell>
          <cell r="AC21">
            <v>0.39219423905073098</v>
          </cell>
          <cell r="AG21">
            <v>0.65836501901140598</v>
          </cell>
          <cell r="AI21">
            <v>22.846502835538701</v>
          </cell>
          <cell r="AK21">
            <v>5.8823529411764701</v>
          </cell>
          <cell r="AL21">
            <v>2.5497569837344001</v>
          </cell>
        </row>
        <row r="22">
          <cell r="S22">
            <v>24.218943282976941</v>
          </cell>
          <cell r="U22">
            <v>0.706915408621965</v>
          </cell>
          <cell r="V22">
            <v>0.23499999999999999</v>
          </cell>
          <cell r="AC22">
            <v>0.17388421780535701</v>
          </cell>
          <cell r="AG22">
            <v>1.55E-2</v>
          </cell>
          <cell r="AI22">
            <v>19.579259259259199</v>
          </cell>
          <cell r="AK22">
            <v>4.2553191489361701</v>
          </cell>
          <cell r="AL22">
            <v>5.7509532068021416</v>
          </cell>
        </row>
        <row r="23">
          <cell r="S23">
            <v>25.358057778501159</v>
          </cell>
          <cell r="U23">
            <v>0.70207255728851592</v>
          </cell>
          <cell r="V23">
            <v>0.23200000000000001</v>
          </cell>
          <cell r="AC23">
            <v>0.30391670643274704</v>
          </cell>
          <cell r="AG23">
            <v>3.2567076714205806E-2</v>
          </cell>
          <cell r="AI23">
            <v>19.3614130127633</v>
          </cell>
          <cell r="AK23">
            <v>4.3103448275862064</v>
          </cell>
          <cell r="AL23">
            <v>3.2903752206899077</v>
          </cell>
        </row>
        <row r="24">
          <cell r="S24">
            <v>24.245923089540319</v>
          </cell>
          <cell r="U24">
            <v>0.40787325972155397</v>
          </cell>
          <cell r="V24">
            <v>0.156</v>
          </cell>
          <cell r="AC24">
            <v>0.31853771486273702</v>
          </cell>
          <cell r="AG24">
            <v>0.11066037735848999</v>
          </cell>
          <cell r="AI24">
            <v>22.0191593352883</v>
          </cell>
          <cell r="AK24">
            <v>6.4102564102564106</v>
          </cell>
          <cell r="AL24">
            <v>3.13934568291518</v>
          </cell>
        </row>
        <row r="25">
          <cell r="S25">
            <v>18.386864980241118</v>
          </cell>
          <cell r="U25">
            <v>0.64238064094179204</v>
          </cell>
          <cell r="V25">
            <v>0.1895</v>
          </cell>
          <cell r="AC25">
            <v>1.6500000000000001E-2</v>
          </cell>
          <cell r="AG25">
            <v>0.67799227799227801</v>
          </cell>
          <cell r="AI25">
            <v>18.536507936507899</v>
          </cell>
          <cell r="AK25">
            <v>5.2770448548812663</v>
          </cell>
          <cell r="AL25">
            <v>60.606060606060602</v>
          </cell>
        </row>
        <row r="26">
          <cell r="S26">
            <v>22.385956325111124</v>
          </cell>
          <cell r="U26">
            <v>0.60453514739229008</v>
          </cell>
          <cell r="V26">
            <v>0.39200000000000002</v>
          </cell>
          <cell r="AC26">
            <v>8.0466886661523601E-2</v>
          </cell>
          <cell r="AG26">
            <v>2.5227005870841399</v>
          </cell>
          <cell r="AI26">
            <v>29.6605832549388</v>
          </cell>
          <cell r="AK26">
            <v>2.5510204081632653</v>
          </cell>
          <cell r="AL26">
            <v>12.427472237199956</v>
          </cell>
        </row>
        <row r="27">
          <cell r="S27">
            <v>25.502841476080985</v>
          </cell>
          <cell r="U27">
            <v>0.60503875968992193</v>
          </cell>
          <cell r="V27">
            <v>0.20499999999999999</v>
          </cell>
          <cell r="AC27">
            <v>0.22734395039202399</v>
          </cell>
          <cell r="AG27">
            <v>0.27596153846153804</v>
          </cell>
          <cell r="AI27">
            <v>20.777881040892101</v>
          </cell>
          <cell r="AK27">
            <v>4.8780487804878048</v>
          </cell>
          <cell r="AL27">
            <v>4.3986215523907051</v>
          </cell>
        </row>
        <row r="28">
          <cell r="S28">
            <v>25.588381433068413</v>
          </cell>
          <cell r="U28">
            <v>0.70254652301664999</v>
          </cell>
          <cell r="V28">
            <v>0.252</v>
          </cell>
          <cell r="AC28">
            <v>0.23324415944746302</v>
          </cell>
          <cell r="AG28">
            <v>0.24019230769230698</v>
          </cell>
          <cell r="AI28">
            <v>21.2862857142857</v>
          </cell>
          <cell r="AK28">
            <v>3.9682539682539684</v>
          </cell>
          <cell r="AL28">
            <v>4.2873527996110212</v>
          </cell>
        </row>
        <row r="29">
          <cell r="S29">
            <v>25.830101136689922</v>
          </cell>
          <cell r="U29">
            <v>0.47392996108949403</v>
          </cell>
          <cell r="V29">
            <v>0.17399999999999899</v>
          </cell>
          <cell r="AC29">
            <v>0.19258488594476</v>
          </cell>
          <cell r="AG29">
            <v>0.35042573320719</v>
          </cell>
          <cell r="AI29">
            <v>20.598523985239801</v>
          </cell>
          <cell r="AK29">
            <v>5.7471264367816426</v>
          </cell>
          <cell r="AL29">
            <v>5.1925154723036497</v>
          </cell>
        </row>
        <row r="30">
          <cell r="S30">
            <v>25.186676579904571</v>
          </cell>
          <cell r="U30">
            <v>0.76906024096385395</v>
          </cell>
          <cell r="V30">
            <v>0.24399999999999999</v>
          </cell>
          <cell r="AC30">
            <v>0.46432197363058902</v>
          </cell>
          <cell r="AG30">
            <v>1.7078922040423401</v>
          </cell>
          <cell r="AI30">
            <v>21.916090819348401</v>
          </cell>
          <cell r="AK30">
            <v>4.0983606557377046</v>
          </cell>
          <cell r="AL30">
            <v>2.1536779579499123</v>
          </cell>
        </row>
        <row r="31">
          <cell r="S31">
            <v>25.890157422354942</v>
          </cell>
          <cell r="U31">
            <v>0.41356903965599606</v>
          </cell>
          <cell r="V31">
            <v>0.152</v>
          </cell>
          <cell r="AC31">
            <v>0.18367590447514001</v>
          </cell>
          <cell r="AG31">
            <v>0.34593535749265403</v>
          </cell>
          <cell r="AI31">
            <v>21.4368780487804</v>
          </cell>
          <cell r="AK31">
            <v>6.5789473684210531</v>
          </cell>
          <cell r="AL31">
            <v>5.4443722646012453</v>
          </cell>
        </row>
        <row r="32">
          <cell r="S32">
            <v>17.719477816451548</v>
          </cell>
          <cell r="U32">
            <v>2.4539056603773499</v>
          </cell>
          <cell r="V32">
            <v>1.24</v>
          </cell>
          <cell r="AC32">
            <v>0.16812071035696</v>
          </cell>
          <cell r="AG32">
            <v>0.37903543307086601</v>
          </cell>
          <cell r="AI32">
            <v>7.9297137580794006</v>
          </cell>
          <cell r="AK32">
            <v>0.80645161290322587</v>
          </cell>
          <cell r="AL32">
            <v>5.9481071539417343</v>
          </cell>
        </row>
        <row r="33">
          <cell r="S33">
            <v>28.509675766841621</v>
          </cell>
          <cell r="U33">
            <v>0.42476340996168499</v>
          </cell>
          <cell r="V33">
            <v>0.193</v>
          </cell>
          <cell r="AC33">
            <v>0.20677946239052097</v>
          </cell>
          <cell r="AG33">
            <v>0.13264925373134298</v>
          </cell>
          <cell r="AI33">
            <v>20.8905243790248</v>
          </cell>
          <cell r="AK33">
            <v>5.1813471502590671</v>
          </cell>
          <cell r="AL33">
            <v>4.8360702191565483</v>
          </cell>
        </row>
        <row r="34">
          <cell r="S34">
            <v>28.014019896533366</v>
          </cell>
          <cell r="U34">
            <v>0.26930899435778199</v>
          </cell>
          <cell r="V34">
            <v>0.14299999999999899</v>
          </cell>
          <cell r="AC34">
            <v>0.33970006759114196</v>
          </cell>
          <cell r="AG34">
            <v>0.43127340823970001</v>
          </cell>
          <cell r="AI34">
            <v>19.465637065637001</v>
          </cell>
          <cell r="AK34">
            <v>6.9930069930070422</v>
          </cell>
          <cell r="AL34">
            <v>2.9437733324315536</v>
          </cell>
        </row>
        <row r="35">
          <cell r="S35">
            <v>19.626302791347285</v>
          </cell>
          <cell r="U35">
            <v>1.9492015968063798</v>
          </cell>
          <cell r="V35">
            <v>1.86</v>
          </cell>
          <cell r="AC35">
            <v>0.24641149619331901</v>
          </cell>
          <cell r="AG35">
            <v>1.5076097560975601</v>
          </cell>
          <cell r="AI35">
            <v>15.3235430784123</v>
          </cell>
          <cell r="AK35">
            <v>0.5376344086021505</v>
          </cell>
          <cell r="AL35">
            <v>4.0582522140747148</v>
          </cell>
        </row>
        <row r="36">
          <cell r="S36">
            <v>28.784805748443297</v>
          </cell>
          <cell r="U36">
            <v>0.29050682600963201</v>
          </cell>
          <cell r="V36">
            <v>0.153</v>
          </cell>
          <cell r="AC36">
            <v>0.29367940954301597</v>
          </cell>
          <cell r="AG36">
            <v>0.101886222037851</v>
          </cell>
          <cell r="AI36">
            <v>20.307485604606498</v>
          </cell>
          <cell r="AK36">
            <v>6.5359477124183005</v>
          </cell>
          <cell r="AL36">
            <v>3.4050735853632514</v>
          </cell>
        </row>
        <row r="37">
          <cell r="S37">
            <v>23.563921868833297</v>
          </cell>
          <cell r="U37">
            <v>1.7089365853658498</v>
          </cell>
          <cell r="V37">
            <v>0.78500000000000003</v>
          </cell>
          <cell r="AC37">
            <v>0.192694673490724</v>
          </cell>
          <cell r="AG37">
            <v>1.55E-2</v>
          </cell>
          <cell r="AI37">
            <v>12.148571428571399</v>
          </cell>
          <cell r="AK37">
            <v>1.2738853503184713</v>
          </cell>
          <cell r="AL37">
            <v>5.189557043195272</v>
          </cell>
        </row>
        <row r="38">
          <cell r="S38">
            <v>25.007881523848312</v>
          </cell>
          <cell r="U38">
            <v>1.0034535229904</v>
          </cell>
          <cell r="V38">
            <v>0.34799999999999898</v>
          </cell>
          <cell r="AC38">
            <v>0.30423111907233702</v>
          </cell>
          <cell r="AG38">
            <v>3.8190476190476101E-2</v>
          </cell>
          <cell r="AI38">
            <v>18.5067328699106</v>
          </cell>
          <cell r="AK38">
            <v>2.8735632183908129</v>
          </cell>
          <cell r="AL38">
            <v>3.2869747284538309</v>
          </cell>
        </row>
        <row r="39">
          <cell r="S39">
            <v>25.447623038643496</v>
          </cell>
          <cell r="U39">
            <v>1.1397704590818301</v>
          </cell>
          <cell r="V39">
            <v>0.35799999999999998</v>
          </cell>
          <cell r="AC39">
            <v>0.47919485424948</v>
          </cell>
          <cell r="AG39">
            <v>1.55E-2</v>
          </cell>
          <cell r="AI39">
            <v>16.6307662463627</v>
          </cell>
          <cell r="AK39">
            <v>2.7932960893854748</v>
          </cell>
          <cell r="AL39">
            <v>2.0868337611141725</v>
          </cell>
        </row>
        <row r="40">
          <cell r="S40">
            <v>23.439663525243873</v>
          </cell>
          <cell r="U40">
            <v>0.22617053749170499</v>
          </cell>
          <cell r="V40">
            <v>7.7799999999999897E-2</v>
          </cell>
          <cell r="AC40">
            <v>0.26806880115329002</v>
          </cell>
          <cell r="AG40">
            <v>3.88999999999999E-2</v>
          </cell>
          <cell r="AI40">
            <v>21.453759398496199</v>
          </cell>
          <cell r="AK40">
            <v>12.853470437018013</v>
          </cell>
          <cell r="AL40">
            <v>3.7303856162962026</v>
          </cell>
        </row>
        <row r="41">
          <cell r="S41">
            <v>23.78117669327791</v>
          </cell>
          <cell r="U41">
            <v>1.9242522756826999</v>
          </cell>
          <cell r="V41">
            <v>0.60799999999999998</v>
          </cell>
          <cell r="AC41">
            <v>0.30277918874824999</v>
          </cell>
          <cell r="AG41">
            <v>4.37213565536205E-2</v>
          </cell>
          <cell r="AI41">
            <v>15.5659931887625</v>
          </cell>
          <cell r="AK41">
            <v>1.6447368421052633</v>
          </cell>
          <cell r="AL41">
            <v>3.3027369025401017</v>
          </cell>
        </row>
        <row r="42">
          <cell r="S42">
            <v>26.821154208803897</v>
          </cell>
          <cell r="U42">
            <v>0.24336935166994098</v>
          </cell>
          <cell r="V42">
            <v>0.10299999999999999</v>
          </cell>
          <cell r="AC42">
            <v>0.200825774744569</v>
          </cell>
          <cell r="AG42">
            <v>0.12697176241479999</v>
          </cell>
          <cell r="AI42">
            <v>20.712045889101301</v>
          </cell>
          <cell r="AK42">
            <v>9.7087378640776709</v>
          </cell>
          <cell r="AL42">
            <v>4.9794405188870972</v>
          </cell>
        </row>
        <row r="43">
          <cell r="S43">
            <v>28.172259618261645</v>
          </cell>
          <cell r="U43">
            <v>0.39392755751345998</v>
          </cell>
          <cell r="V43">
            <v>0.19600000000000001</v>
          </cell>
          <cell r="AC43">
            <v>0.30430090458764297</v>
          </cell>
          <cell r="AG43">
            <v>6.4882629107981205E-2</v>
          </cell>
          <cell r="AI43">
            <v>19.465388302972201</v>
          </cell>
          <cell r="AK43">
            <v>5.1020408163265305</v>
          </cell>
          <cell r="AL43">
            <v>3.2862209244993745</v>
          </cell>
        </row>
        <row r="44">
          <cell r="S44">
            <v>26.902793282057459</v>
          </cell>
          <cell r="U44">
            <v>0.37823722275795396</v>
          </cell>
          <cell r="V44">
            <v>0.153</v>
          </cell>
          <cell r="AC44">
            <v>0.17958966902769</v>
          </cell>
          <cell r="AG44">
            <v>5.0746268656716401E-2</v>
          </cell>
          <cell r="AI44">
            <v>19.9815712900097</v>
          </cell>
          <cell r="AK44">
            <v>6.5359477124183005</v>
          </cell>
          <cell r="AL44">
            <v>5.5682490279873234</v>
          </cell>
        </row>
        <row r="45">
          <cell r="S45">
            <v>21.818598428277209</v>
          </cell>
          <cell r="U45">
            <v>3.4103030303030297</v>
          </cell>
          <cell r="V45">
            <v>1.1100000000000001</v>
          </cell>
          <cell r="AC45">
            <v>0.23998789844996499</v>
          </cell>
          <cell r="AG45">
            <v>1.55E-2</v>
          </cell>
          <cell r="AI45">
            <v>10.351064237775599</v>
          </cell>
          <cell r="AK45">
            <v>0.9009009009009008</v>
          </cell>
          <cell r="AL45">
            <v>4.16687677361569</v>
          </cell>
        </row>
        <row r="46">
          <cell r="S46">
            <v>23.34968547403879</v>
          </cell>
          <cell r="U46">
            <v>0.32907243526712499</v>
          </cell>
          <cell r="V46">
            <v>0.15</v>
          </cell>
          <cell r="AC46">
            <v>5.4105583848599099E-2</v>
          </cell>
          <cell r="AG46">
            <v>1.63739349505271</v>
          </cell>
          <cell r="AI46">
            <v>33.233354063018204</v>
          </cell>
          <cell r="AK46">
            <v>6.666666666666667</v>
          </cell>
          <cell r="AL46">
            <v>18.482380724293616</v>
          </cell>
        </row>
        <row r="47">
          <cell r="S47">
            <v>25.96386763052049</v>
          </cell>
          <cell r="U47">
            <v>0.362622950819672</v>
          </cell>
          <cell r="V47">
            <v>0.11</v>
          </cell>
          <cell r="AC47">
            <v>0.132726544655175</v>
          </cell>
          <cell r="AG47">
            <v>0.22229665071770299</v>
          </cell>
          <cell r="AI47">
            <v>23.341486359360299</v>
          </cell>
          <cell r="AK47">
            <v>9.0909090909090917</v>
          </cell>
          <cell r="AL47">
            <v>7.5342879044882158</v>
          </cell>
        </row>
        <row r="48">
          <cell r="S48">
            <v>27.235858153700036</v>
          </cell>
          <cell r="U48">
            <v>0.50872359963268998</v>
          </cell>
          <cell r="V48">
            <v>0.215</v>
          </cell>
          <cell r="AC48">
            <v>9.9190178277665103E-2</v>
          </cell>
          <cell r="AG48">
            <v>1.55E-2</v>
          </cell>
          <cell r="AI48">
            <v>17.7264150943396</v>
          </cell>
          <cell r="AK48">
            <v>4.6511627906976747</v>
          </cell>
          <cell r="AL48">
            <v>10.081643337717162</v>
          </cell>
        </row>
        <row r="49">
          <cell r="S49">
            <v>20.054863927508912</v>
          </cell>
          <cell r="U49">
            <v>3.1608654750705401</v>
          </cell>
          <cell r="V49">
            <v>1.67</v>
          </cell>
          <cell r="AC49">
            <v>1.6500000000000001E-2</v>
          </cell>
          <cell r="AG49">
            <v>1.2952929875120001</v>
          </cell>
          <cell r="AI49">
            <v>14.0305052430886</v>
          </cell>
          <cell r="AK49">
            <v>0.5988023952095809</v>
          </cell>
          <cell r="AL49">
            <v>60.606060606060602</v>
          </cell>
        </row>
        <row r="50">
          <cell r="S50">
            <v>28.449034814195993</v>
          </cell>
          <cell r="U50">
            <v>0.31237721021610898</v>
          </cell>
          <cell r="V50">
            <v>0.109</v>
          </cell>
          <cell r="AC50">
            <v>0.166596686372632</v>
          </cell>
          <cell r="AG50">
            <v>0.14057416267942499</v>
          </cell>
          <cell r="AI50">
            <v>20.2991202346041</v>
          </cell>
          <cell r="AK50">
            <v>9.1743119266055047</v>
          </cell>
          <cell r="AL50">
            <v>6.0025203488337624</v>
          </cell>
        </row>
        <row r="51">
          <cell r="S51">
            <v>28.358232728705072</v>
          </cell>
          <cell r="U51">
            <v>0.484270734032411</v>
          </cell>
          <cell r="V51">
            <v>0.151</v>
          </cell>
          <cell r="AC51">
            <v>0.383750888379639</v>
          </cell>
          <cell r="AG51">
            <v>0.125119846596356</v>
          </cell>
          <cell r="AI51">
            <v>19.3222003929273</v>
          </cell>
          <cell r="AK51">
            <v>6.6225165562913908</v>
          </cell>
          <cell r="AL51">
            <v>2.6058571596340254</v>
          </cell>
        </row>
        <row r="52">
          <cell r="S52">
            <v>23.407279821433281</v>
          </cell>
          <cell r="U52">
            <v>1.60038424591738</v>
          </cell>
          <cell r="V52">
            <v>0.439</v>
          </cell>
          <cell r="AC52">
            <v>0.30891681221922801</v>
          </cell>
          <cell r="AG52">
            <v>3.8856015779092701E-2</v>
          </cell>
          <cell r="AI52">
            <v>15.1996086105675</v>
          </cell>
          <cell r="AK52">
            <v>2.2779043280182232</v>
          </cell>
          <cell r="AL52">
            <v>3.2371174388862114</v>
          </cell>
        </row>
        <row r="53">
          <cell r="S53">
            <v>19.155296597349654</v>
          </cell>
          <cell r="U53">
            <v>4.5210237659963299</v>
          </cell>
          <cell r="V53">
            <v>1.4</v>
          </cell>
          <cell r="AC53">
            <v>0.14404756381268399</v>
          </cell>
          <cell r="AG53">
            <v>6.2829268292682899E-2</v>
          </cell>
          <cell r="AI53">
            <v>9.5053763440860202</v>
          </cell>
          <cell r="AK53">
            <v>0.7142857142857143</v>
          </cell>
          <cell r="AL53">
            <v>6.9421514222925431</v>
          </cell>
        </row>
        <row r="54">
          <cell r="S54">
            <v>26.324216626423549</v>
          </cell>
          <cell r="U54">
            <v>0.21546961325966799</v>
          </cell>
          <cell r="V54">
            <v>5.7200000000000001E-2</v>
          </cell>
          <cell r="AC54">
            <v>0.27510943740677801</v>
          </cell>
          <cell r="AG54">
            <v>0.31578458681522703</v>
          </cell>
          <cell r="AI54">
            <v>21.4896421845574</v>
          </cell>
          <cell r="AK54">
            <v>17.482517482517483</v>
          </cell>
          <cell r="AL54">
            <v>3.6349171058112253</v>
          </cell>
        </row>
        <row r="55">
          <cell r="S55">
            <v>24.443053290788463</v>
          </cell>
          <cell r="U55">
            <v>0.34412580943570703</v>
          </cell>
          <cell r="V55">
            <v>0.23200000000000001</v>
          </cell>
          <cell r="AC55">
            <v>0.48175515026141902</v>
          </cell>
          <cell r="AG55">
            <v>1.5333661417322801</v>
          </cell>
          <cell r="AI55">
            <v>21.8407407407406</v>
          </cell>
          <cell r="AK55">
            <v>4.3103448275862064</v>
          </cell>
          <cell r="AL55">
            <v>2.0757432472851849</v>
          </cell>
        </row>
        <row r="56">
          <cell r="S56">
            <v>24.214316872476456</v>
          </cell>
          <cell r="U56">
            <v>0.54917491749174896</v>
          </cell>
          <cell r="V56">
            <v>0.246</v>
          </cell>
          <cell r="AC56">
            <v>5.1615697828464702E-2</v>
          </cell>
          <cell r="AG56">
            <v>0.199902248289345</v>
          </cell>
          <cell r="AI56">
            <v>26.553963705826103</v>
          </cell>
          <cell r="AK56">
            <v>4.0650406504065044</v>
          </cell>
          <cell r="AL56">
            <v>19.373950989160633</v>
          </cell>
        </row>
        <row r="57">
          <cell r="S57">
            <v>25.192630315441619</v>
          </cell>
          <cell r="U57">
            <v>0.179301252471984</v>
          </cell>
          <cell r="V57">
            <v>5.5800000000000002E-2</v>
          </cell>
          <cell r="AC57">
            <v>0.113629967942386</v>
          </cell>
          <cell r="AG57">
            <v>1.55E-2</v>
          </cell>
          <cell r="AI57">
            <v>20.567877629063101</v>
          </cell>
          <cell r="AK57">
            <v>17.921146953405017</v>
          </cell>
          <cell r="AL57">
            <v>8.8004953104187429</v>
          </cell>
        </row>
        <row r="58">
          <cell r="S58">
            <v>26.906860202774112</v>
          </cell>
          <cell r="U58">
            <v>0.43773584905660301</v>
          </cell>
          <cell r="V58">
            <v>0.113</v>
          </cell>
          <cell r="AC58">
            <v>0.48347886311950999</v>
          </cell>
          <cell r="AG58">
            <v>7.0565302144249498E-2</v>
          </cell>
          <cell r="AI58">
            <v>18.0916905444126</v>
          </cell>
          <cell r="AK58">
            <v>8.8495575221238933</v>
          </cell>
          <cell r="AL58">
            <v>2.0683427472874079</v>
          </cell>
        </row>
        <row r="59">
          <cell r="S59">
            <v>24.552657265418958</v>
          </cell>
          <cell r="U59">
            <v>0.30698529411764697</v>
          </cell>
          <cell r="V59">
            <v>8.48E-2</v>
          </cell>
          <cell r="AC59">
            <v>0.26510403833249602</v>
          </cell>
          <cell r="AG59">
            <v>0.26870155038759497</v>
          </cell>
          <cell r="AI59">
            <v>22.2791586998088</v>
          </cell>
          <cell r="AK59">
            <v>11.79245283018868</v>
          </cell>
          <cell r="AL59">
            <v>3.7721039871365161</v>
          </cell>
        </row>
        <row r="60">
          <cell r="S60">
            <v>25.850491449699547</v>
          </cell>
          <cell r="U60">
            <v>0.41698113207547105</v>
          </cell>
          <cell r="V60">
            <v>0.123</v>
          </cell>
          <cell r="AC60">
            <v>0.31307878051744004</v>
          </cell>
          <cell r="AG60">
            <v>1.55E-2</v>
          </cell>
          <cell r="AI60">
            <v>21.684836471754199</v>
          </cell>
          <cell r="AK60">
            <v>8.1300813008130088</v>
          </cell>
          <cell r="AL60">
            <v>3.1940842440591246</v>
          </cell>
        </row>
        <row r="61">
          <cell r="S61">
            <v>24.482498749849086</v>
          </cell>
          <cell r="U61">
            <v>0.54752851711026596</v>
          </cell>
          <cell r="V61">
            <v>0.17699999999999999</v>
          </cell>
          <cell r="AC61">
            <v>0.22013398849631999</v>
          </cell>
          <cell r="AG61">
            <v>1.55E-2</v>
          </cell>
          <cell r="AI61">
            <v>20.507288629737602</v>
          </cell>
          <cell r="AK61">
            <v>5.6497175141242941</v>
          </cell>
          <cell r="AL61">
            <v>4.5426878731028726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B50C-C7F6-46C9-9039-67C003CD6DE5}">
  <dimension ref="A1:AJ61"/>
  <sheetViews>
    <sheetView tabSelected="1" zoomScale="80" zoomScaleNormal="80" workbookViewId="0">
      <pane ySplit="1" topLeftCell="A2" activePane="bottomLeft" state="frozen"/>
      <selection activeCell="F1" sqref="F1"/>
      <selection pane="bottomLeft" activeCell="AN38" sqref="AN38"/>
    </sheetView>
  </sheetViews>
  <sheetFormatPr defaultColWidth="8.77734375" defaultRowHeight="14.4" x14ac:dyDescent="0.3"/>
  <cols>
    <col min="1" max="1" width="6.6640625" style="1" customWidth="1"/>
    <col min="2" max="4" width="6.88671875" style="1" customWidth="1"/>
    <col min="5" max="7" width="5.88671875" style="1" customWidth="1"/>
    <col min="8" max="9" width="7.6640625" style="1" customWidth="1"/>
    <col min="10" max="11" width="6.109375" style="1" customWidth="1"/>
    <col min="12" max="14" width="7.109375" style="1" customWidth="1"/>
    <col min="15" max="19" width="6.33203125" style="1" customWidth="1"/>
    <col min="20" max="36" width="6.6640625" style="1" customWidth="1"/>
    <col min="37" max="16384" width="8.77734375" style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120</v>
      </c>
      <c r="B2" s="3">
        <v>342.44517499988399</v>
      </c>
      <c r="C2" s="3">
        <v>-382.72031999751903</v>
      </c>
      <c r="D2" s="3">
        <v>337.81</v>
      </c>
      <c r="E2" s="4">
        <v>19.770885413052699</v>
      </c>
      <c r="F2" s="3">
        <f t="shared" ref="F2:F61" si="0">573.4*E2^-1</f>
        <v>29.002241832904581</v>
      </c>
      <c r="G2" s="3">
        <f t="shared" ref="G2:G61" si="1">379.4*E2^-0.8</f>
        <v>34.855910461729195</v>
      </c>
      <c r="H2" s="3">
        <v>2174.2375137234199</v>
      </c>
      <c r="I2" s="3">
        <v>97.105343532514993</v>
      </c>
      <c r="J2" s="4">
        <v>0.80842930981679895</v>
      </c>
      <c r="K2" s="1">
        <v>150</v>
      </c>
      <c r="L2" s="3">
        <f t="shared" ref="L2:L61" si="2">49/(K2^0.23*J2^0.82*(10/SQRT(I2)-10/SQRT(H2)))</f>
        <v>23.022723960150145</v>
      </c>
      <c r="M2" s="3">
        <f t="shared" ref="M2:M61" si="3">18.18/(K2^0.295*J2*(I2^-(0.295+I2/10^6)-H2^-(0.295+H2/10^6)))</f>
        <v>32.615524468877396</v>
      </c>
      <c r="N2" s="3">
        <f t="shared" ref="N2:N61" si="4">IF(K2=150,M2,M2*(I2/106)^0.24)</f>
        <v>32.615524468877396</v>
      </c>
      <c r="O2" s="4">
        <f>IF(OR((35*(6000*55000)^-0.2)&lt;1,(35*(6000*55000)^-0.2)&gt;0.5),(35*(6000*55000)^-0.2),IF((35*(6000*55000)^-0.2)&gt;=1,1,0.5))</f>
        <v>0.69241306895490873</v>
      </c>
      <c r="P2" s="4">
        <f t="shared" ref="P2:P61" si="5">0.71*EXP(0.28*3.8)/F2^0.23</f>
        <v>0.94839316735302148</v>
      </c>
      <c r="Q2" s="3">
        <f>(F2*4*(6000^-(0.295+6000/10^6)-55000^-(0.295+55000/10^6)))*O2*P2</f>
        <v>3.8841954681125661</v>
      </c>
      <c r="R2" s="3">
        <f t="shared" ref="R2:R61" si="6">4*G2*(750^-(0.295+750/10^6)-6000^-(0.295+6000/10^6))+4*N2*(106^-(0.295+106/10^6)-750^-(0.295+750/10^6))</f>
        <v>24.045983248294846</v>
      </c>
      <c r="S2" s="3">
        <f>Q2+R2</f>
        <v>27.930178716407411</v>
      </c>
      <c r="T2" s="5">
        <f>[1]original!L2/10000</f>
        <v>5.30613758305795</v>
      </c>
      <c r="U2" s="5">
        <f>[1]original!Q2/10000</f>
        <v>0.96296716417910388</v>
      </c>
      <c r="V2" s="5">
        <f>[1]original!Y2/10000</f>
        <v>0.27900000000000003</v>
      </c>
      <c r="W2" s="5">
        <f>[1]original!AB2/10000</f>
        <v>1.04547752576367E-3</v>
      </c>
      <c r="X2" s="5">
        <f>[1]original!T2/10000</f>
        <v>2.0113863021202398</v>
      </c>
      <c r="Y2" s="5">
        <f>[1]original!S2/10000</f>
        <v>28.7065387485342</v>
      </c>
      <c r="Z2" s="5">
        <f>[1]original!M2/10000</f>
        <v>5.3400000000000003E-2</v>
      </c>
      <c r="AA2" s="5">
        <f>[1]original!N2/10000</f>
        <v>0.72922573997086304</v>
      </c>
      <c r="AB2" s="5">
        <f>[1]original!O2/10000</f>
        <v>0</v>
      </c>
      <c r="AC2" s="5">
        <f>[1]original!P2/10000</f>
        <v>0.331341764420647</v>
      </c>
      <c r="AD2" s="5">
        <f>[1]original!R2/10000</f>
        <v>0.42669264490988801</v>
      </c>
      <c r="AE2" s="5">
        <f>[1]original!U2/10000</f>
        <v>0.66219805990832503</v>
      </c>
      <c r="AF2" s="5">
        <f>[1]original!V2/10000</f>
        <v>0.69255552002274101</v>
      </c>
      <c r="AG2" s="5">
        <f>[1]original!W2/10000</f>
        <v>1.55E-2</v>
      </c>
      <c r="AH2" s="5">
        <f>[1]original!X2/10000</f>
        <v>2.3E-2</v>
      </c>
      <c r="AI2" s="5">
        <f>[1]original!Z2/10000</f>
        <v>18.303500337561701</v>
      </c>
      <c r="AJ2" s="5">
        <f>[1]original!AA2/10000</f>
        <v>2.9999999999999997E-4</v>
      </c>
    </row>
    <row r="3" spans="1:36" x14ac:dyDescent="0.3">
      <c r="A3" s="1">
        <v>121</v>
      </c>
      <c r="B3" s="3">
        <v>127.095174999907</v>
      </c>
      <c r="C3" s="3">
        <v>-88.5103199966251</v>
      </c>
      <c r="D3" s="3">
        <v>251.62</v>
      </c>
      <c r="E3" s="4">
        <v>20.990494667415859</v>
      </c>
      <c r="F3" s="3">
        <f t="shared" si="0"/>
        <v>27.317126589213025</v>
      </c>
      <c r="G3" s="3">
        <f t="shared" si="1"/>
        <v>33.226086229620222</v>
      </c>
      <c r="H3" s="3">
        <v>2188.5429164430798</v>
      </c>
      <c r="I3" s="3">
        <v>115.50807270749</v>
      </c>
      <c r="J3" s="4">
        <v>0.85511617021497599</v>
      </c>
      <c r="K3" s="1">
        <v>150</v>
      </c>
      <c r="L3" s="3">
        <f t="shared" si="2"/>
        <v>24.552794885362626</v>
      </c>
      <c r="M3" s="3">
        <f t="shared" si="3"/>
        <v>33.555608709567743</v>
      </c>
      <c r="N3" s="3">
        <f t="shared" si="4"/>
        <v>33.555608709567743</v>
      </c>
      <c r="O3" s="4">
        <f t="shared" ref="O3:O61" si="7">IF(OR((35*(6000*55000)^-0.2)&lt;1,(35*(6000*55000)^-0.2)&gt;0.5),(35*(6000*55000)^-0.2),IF((35*(6000*55000)^-0.2)&gt;=1,1,0.5))</f>
        <v>0.69241306895490873</v>
      </c>
      <c r="P3" s="4">
        <f t="shared" si="5"/>
        <v>0.96154059423111404</v>
      </c>
      <c r="Q3" s="3">
        <f t="shared" ref="Q3:Q61" si="8">(F3*4*(6000^-(0.295+6000/10^6)-55000^-(0.295+55000/10^6)))*O3*P3</f>
        <v>3.7092297155211615</v>
      </c>
      <c r="R3" s="3">
        <f t="shared" si="6"/>
        <v>24.019870689800698</v>
      </c>
      <c r="S3" s="3">
        <f t="shared" ref="S3:S61" si="9">Q3+R3</f>
        <v>27.729100405321859</v>
      </c>
      <c r="T3" s="5">
        <f>[1]original!L3/10000</f>
        <v>4.8197507190795701</v>
      </c>
      <c r="U3" s="5">
        <f>[1]original!Q3/10000</f>
        <v>0.31860128776621999</v>
      </c>
      <c r="V3" s="5">
        <f>[1]original!Y3/10000</f>
        <v>7.2400000000000006E-2</v>
      </c>
      <c r="W3" s="5">
        <f>[1]original!AB3/10000</f>
        <v>3.6468867924528301E-4</v>
      </c>
      <c r="X3" s="5">
        <f>[1]original!T3/10000</f>
        <v>2.8938287401574798</v>
      </c>
      <c r="Y3" s="5">
        <f>[1]original!S3/10000</f>
        <v>22.9643336529242</v>
      </c>
      <c r="Z3" s="5">
        <f>[1]original!M3/10000</f>
        <v>3.1399999999999997E-2</v>
      </c>
      <c r="AA3" s="5">
        <f>[1]original!N3/10000</f>
        <v>0.31792905081495498</v>
      </c>
      <c r="AB3" s="5">
        <f>[1]original!O3/10000</f>
        <v>0</v>
      </c>
      <c r="AC3" s="5">
        <f>[1]original!P3/10000</f>
        <v>0.73587914871568105</v>
      </c>
      <c r="AD3" s="5">
        <f>[1]original!R3/10000</f>
        <v>0.266137040714995</v>
      </c>
      <c r="AE3" s="5">
        <f>[1]original!U3/10000</f>
        <v>0.63240651965484107</v>
      </c>
      <c r="AF3" s="5">
        <f>[1]original!V3/10000</f>
        <v>0.311217641418983</v>
      </c>
      <c r="AG3" s="5">
        <f>[1]original!W3/10000</f>
        <v>3.8831594488188896E-2</v>
      </c>
      <c r="AH3" s="5">
        <f>[1]original!X3/10000</f>
        <v>2.3E-2</v>
      </c>
      <c r="AI3" s="5">
        <f>[1]original!Z3/10000</f>
        <v>22.6433365292425</v>
      </c>
      <c r="AJ3" s="5">
        <f>[1]original!AA3/10000</f>
        <v>2.9999999999999997E-4</v>
      </c>
    </row>
    <row r="4" spans="1:36" x14ac:dyDescent="0.3">
      <c r="A4" s="1">
        <v>122</v>
      </c>
      <c r="B4" s="3">
        <v>186.68517499987499</v>
      </c>
      <c r="C4" s="3">
        <v>-344.57031999714599</v>
      </c>
      <c r="D4" s="3">
        <v>334.54</v>
      </c>
      <c r="E4" s="4">
        <v>16.689777591108921</v>
      </c>
      <c r="F4" s="3">
        <f t="shared" si="0"/>
        <v>34.356359566197277</v>
      </c>
      <c r="G4" s="3">
        <f t="shared" si="1"/>
        <v>39.915069254061059</v>
      </c>
      <c r="H4" s="3">
        <v>1983.82571613088</v>
      </c>
      <c r="I4" s="3">
        <v>102.09887734260499</v>
      </c>
      <c r="J4" s="4">
        <v>0.97360894274307197</v>
      </c>
      <c r="K4" s="1">
        <v>150</v>
      </c>
      <c r="L4" s="3">
        <f t="shared" si="2"/>
        <v>20.676276457524324</v>
      </c>
      <c r="M4" s="3">
        <f t="shared" si="3"/>
        <v>28.302032820410137</v>
      </c>
      <c r="N4" s="3">
        <f t="shared" si="4"/>
        <v>28.302032820410137</v>
      </c>
      <c r="O4" s="4">
        <f t="shared" si="7"/>
        <v>0.69241306895490873</v>
      </c>
      <c r="P4" s="4">
        <f t="shared" si="5"/>
        <v>0.91214952312862951</v>
      </c>
      <c r="Q4" s="3">
        <f t="shared" si="8"/>
        <v>4.4254176734357387</v>
      </c>
      <c r="R4" s="3">
        <f t="shared" si="6"/>
        <v>23.50538985103438</v>
      </c>
      <c r="S4" s="3">
        <f t="shared" si="9"/>
        <v>27.930807524470119</v>
      </c>
      <c r="T4" s="5">
        <f>[1]original!L4/10000</f>
        <v>5.5575355450236898</v>
      </c>
      <c r="U4" s="5">
        <f>[1]original!Q4/10000</f>
        <v>0.32577926421404602</v>
      </c>
      <c r="V4" s="5">
        <f>[1]original!Y4/10000</f>
        <v>0.1055</v>
      </c>
      <c r="W4" s="5">
        <f>[1]original!AB4/10000</f>
        <v>8.5058095238095197E-4</v>
      </c>
      <c r="X4" s="5">
        <f>[1]original!T4/10000</f>
        <v>2.2656358381502799</v>
      </c>
      <c r="Y4" s="5">
        <f>[1]original!S4/10000</f>
        <v>23.946540284360101</v>
      </c>
      <c r="Z4" s="5">
        <f>[1]original!M4/10000</f>
        <v>4.9950000000000001E-2</v>
      </c>
      <c r="AA4" s="5">
        <f>[1]original!N4/10000</f>
        <v>0.34464454976303299</v>
      </c>
      <c r="AB4" s="5">
        <f>[1]original!O4/10000</f>
        <v>0</v>
      </c>
      <c r="AC4" s="5">
        <f>[1]original!P4/10000</f>
        <v>0.30938650936808898</v>
      </c>
      <c r="AD4" s="5">
        <f>[1]original!R4/10000</f>
        <v>0.14457831325301199</v>
      </c>
      <c r="AE4" s="5">
        <f>[1]original!U4/10000</f>
        <v>0.69251184834123192</v>
      </c>
      <c r="AF4" s="5">
        <f>[1]original!V4/10000</f>
        <v>0.385023696682464</v>
      </c>
      <c r="AG4" s="5">
        <f>[1]original!W4/10000</f>
        <v>0.16084874759152201</v>
      </c>
      <c r="AH4" s="5">
        <f>[1]original!X4/10000</f>
        <v>2.3E-2</v>
      </c>
      <c r="AI4" s="5">
        <f>[1]original!Z4/10000</f>
        <v>21.5387677725118</v>
      </c>
      <c r="AJ4" s="5">
        <f>[1]original!AA4/10000</f>
        <v>2.9999999999999997E-4</v>
      </c>
    </row>
    <row r="5" spans="1:36" x14ac:dyDescent="0.3">
      <c r="A5" s="1">
        <v>123</v>
      </c>
      <c r="B5" s="3">
        <v>297.19517499988399</v>
      </c>
      <c r="C5" s="3">
        <v>-219.900319997221</v>
      </c>
      <c r="D5" s="3">
        <v>266.55</v>
      </c>
      <c r="E5" s="4">
        <v>21.201889526856373</v>
      </c>
      <c r="F5" s="3">
        <f t="shared" si="0"/>
        <v>27.044759349098381</v>
      </c>
      <c r="G5" s="3">
        <f t="shared" si="1"/>
        <v>32.960794589297279</v>
      </c>
      <c r="H5" s="3">
        <v>1969.79657087081</v>
      </c>
      <c r="I5" s="3">
        <v>116.76222327253301</v>
      </c>
      <c r="J5" s="4">
        <v>1.0471992927731399</v>
      </c>
      <c r="K5" s="1">
        <v>150</v>
      </c>
      <c r="L5" s="3">
        <f t="shared" si="2"/>
        <v>21.286019541909958</v>
      </c>
      <c r="M5" s="3">
        <f t="shared" si="3"/>
        <v>28.219407599889056</v>
      </c>
      <c r="N5" s="3">
        <f t="shared" si="4"/>
        <v>28.219407599889056</v>
      </c>
      <c r="O5" s="4">
        <f t="shared" si="7"/>
        <v>0.69241306895490873</v>
      </c>
      <c r="P5" s="4">
        <f t="shared" si="5"/>
        <v>0.96375925042601285</v>
      </c>
      <c r="Q5" s="3">
        <f t="shared" si="8"/>
        <v>3.6807199241947552</v>
      </c>
      <c r="R5" s="3">
        <f t="shared" si="6"/>
        <v>21.570112439281438</v>
      </c>
      <c r="S5" s="3">
        <f t="shared" si="9"/>
        <v>25.250832363476192</v>
      </c>
      <c r="T5" s="5">
        <f>[1]original!L5/10000</f>
        <v>5.5596590909090899</v>
      </c>
      <c r="U5" s="5">
        <f>[1]original!Q5/10000</f>
        <v>0.44947982498784605</v>
      </c>
      <c r="V5" s="5">
        <f>[1]original!Y5/10000</f>
        <v>0.14299999999999899</v>
      </c>
      <c r="W5" s="5">
        <f>[1]original!AB5/10000</f>
        <v>6.2339303482587002E-4</v>
      </c>
      <c r="X5" s="5">
        <f>[1]original!T5/10000</f>
        <v>2.5535603112840399</v>
      </c>
      <c r="Y5" s="5">
        <f>[1]original!S5/10000</f>
        <v>27.284469696969701</v>
      </c>
      <c r="Z5" s="5">
        <f>[1]original!M5/10000</f>
        <v>6.3E-2</v>
      </c>
      <c r="AA5" s="5">
        <f>[1]original!N5/10000</f>
        <v>0.49109848484848401</v>
      </c>
      <c r="AB5" s="5">
        <f>[1]original!O5/10000</f>
        <v>0</v>
      </c>
      <c r="AC5" s="5">
        <f>[1]original!P5/10000</f>
        <v>0.55551719373476793</v>
      </c>
      <c r="AD5" s="5">
        <f>[1]original!R5/10000</f>
        <v>0.293650793650793</v>
      </c>
      <c r="AE5" s="5">
        <f>[1]original!U5/10000</f>
        <v>0.64905303030303008</v>
      </c>
      <c r="AF5" s="5">
        <f>[1]original!V5/10000</f>
        <v>0.68143939393939401</v>
      </c>
      <c r="AG5" s="5">
        <f>[1]original!W5/10000</f>
        <v>3.45348249027237E-2</v>
      </c>
      <c r="AH5" s="5">
        <f>[1]original!X5/10000</f>
        <v>2.3E-2</v>
      </c>
      <c r="AI5" s="5">
        <f>[1]original!Z5/10000</f>
        <v>19.477272727272702</v>
      </c>
      <c r="AJ5" s="5">
        <f>[1]original!AA5/10000</f>
        <v>2.9999999999999997E-4</v>
      </c>
    </row>
    <row r="6" spans="1:36" x14ac:dyDescent="0.3">
      <c r="A6" s="1">
        <v>124</v>
      </c>
      <c r="B6" s="3">
        <v>365.47517499991199</v>
      </c>
      <c r="C6" s="3">
        <v>-180.95031999796601</v>
      </c>
      <c r="D6" s="3">
        <v>264.01</v>
      </c>
      <c r="E6" s="4">
        <v>18.828488076791224</v>
      </c>
      <c r="F6" s="3">
        <f t="shared" si="0"/>
        <v>30.453852569649317</v>
      </c>
      <c r="G6" s="3">
        <f t="shared" si="1"/>
        <v>36.244738306516595</v>
      </c>
      <c r="H6" s="3">
        <v>2222.8198412679999</v>
      </c>
      <c r="I6" s="3">
        <v>100.826620165752</v>
      </c>
      <c r="J6" s="4">
        <v>1.15526567700225</v>
      </c>
      <c r="K6" s="1">
        <v>150</v>
      </c>
      <c r="L6" s="3">
        <f t="shared" si="2"/>
        <v>17.542718140725647</v>
      </c>
      <c r="M6" s="3">
        <f t="shared" si="3"/>
        <v>23.141431745759455</v>
      </c>
      <c r="N6" s="3">
        <f t="shared" si="4"/>
        <v>23.141431745759455</v>
      </c>
      <c r="O6" s="4">
        <f t="shared" si="7"/>
        <v>0.69241306895490873</v>
      </c>
      <c r="P6" s="4">
        <f t="shared" si="5"/>
        <v>0.93779942484318246</v>
      </c>
      <c r="Q6" s="3">
        <f t="shared" si="8"/>
        <v>4.03304710204252</v>
      </c>
      <c r="R6" s="3">
        <f t="shared" si="6"/>
        <v>20.204312076022077</v>
      </c>
      <c r="S6" s="3">
        <f t="shared" si="9"/>
        <v>24.237359178064597</v>
      </c>
      <c r="T6" s="5">
        <f>[1]original!L6/10000</f>
        <v>6.0304597701149403</v>
      </c>
      <c r="U6" s="5">
        <f>[1]original!Q6/10000</f>
        <v>0.31479904306220102</v>
      </c>
      <c r="V6" s="5">
        <f>[1]original!Y6/10000</f>
        <v>7.4499999999999997E-2</v>
      </c>
      <c r="W6" s="5">
        <f>[1]original!AB6/10000</f>
        <v>3.2864891518737598E-4</v>
      </c>
      <c r="X6" s="5">
        <f>[1]original!T6/10000</f>
        <v>2.6901626794258302</v>
      </c>
      <c r="Y6" s="5">
        <f>[1]original!S6/10000</f>
        <v>23.855363984674202</v>
      </c>
      <c r="Z6" s="5">
        <f>[1]original!M6/10000</f>
        <v>1.4999999999999999E-2</v>
      </c>
      <c r="AA6" s="5">
        <f>[1]original!N6/10000</f>
        <v>1.12816091954023</v>
      </c>
      <c r="AB6" s="5">
        <f>[1]original!O6/10000</f>
        <v>0</v>
      </c>
      <c r="AC6" s="5">
        <f>[1]original!P6/10000</f>
        <v>0.43454313273792905</v>
      </c>
      <c r="AD6" s="5">
        <f>[1]original!R6/10000</f>
        <v>0.29729729729729704</v>
      </c>
      <c r="AE6" s="5">
        <f>[1]original!U6/10000</f>
        <v>0.89329501915708809</v>
      </c>
      <c r="AF6" s="5">
        <f>[1]original!V6/10000</f>
        <v>0.38524904214559302</v>
      </c>
      <c r="AG6" s="5">
        <f>[1]original!W6/10000</f>
        <v>0.16860765550239201</v>
      </c>
      <c r="AH6" s="5">
        <f>[1]original!X6/10000</f>
        <v>4.9233716475095703E-2</v>
      </c>
      <c r="AI6" s="5">
        <f>[1]original!Z6/10000</f>
        <v>20.530842911877301</v>
      </c>
      <c r="AJ6" s="5">
        <f>[1]original!AA6/10000</f>
        <v>2.9999999999999997E-4</v>
      </c>
    </row>
    <row r="7" spans="1:36" x14ac:dyDescent="0.3">
      <c r="A7" s="1">
        <v>125</v>
      </c>
      <c r="B7" s="3">
        <v>499.27517499995798</v>
      </c>
      <c r="C7" s="3">
        <v>-248.82031999714599</v>
      </c>
      <c r="D7" s="3">
        <v>238.85</v>
      </c>
      <c r="E7" s="4">
        <v>19.612847486597587</v>
      </c>
      <c r="F7" s="3">
        <f t="shared" si="0"/>
        <v>29.235938350707723</v>
      </c>
      <c r="G7" s="3">
        <f t="shared" si="1"/>
        <v>35.080421719853781</v>
      </c>
      <c r="H7" s="3">
        <v>2070.97880886749</v>
      </c>
      <c r="I7" s="3">
        <v>113.55964219751201</v>
      </c>
      <c r="J7" s="4">
        <v>0.98353144332447795</v>
      </c>
      <c r="K7" s="1">
        <v>150</v>
      </c>
      <c r="L7" s="3">
        <f t="shared" si="2"/>
        <v>21.831631671248832</v>
      </c>
      <c r="M7" s="3">
        <f t="shared" si="3"/>
        <v>29.282632219576524</v>
      </c>
      <c r="N7" s="3">
        <f t="shared" si="4"/>
        <v>29.282632219576524</v>
      </c>
      <c r="O7" s="4">
        <f t="shared" si="7"/>
        <v>0.69241306895490873</v>
      </c>
      <c r="P7" s="4">
        <f t="shared" si="5"/>
        <v>0.94664415749410624</v>
      </c>
      <c r="Q7" s="3">
        <f t="shared" si="8"/>
        <v>3.9082729558728406</v>
      </c>
      <c r="R7" s="3">
        <f t="shared" si="6"/>
        <v>22.62243351839939</v>
      </c>
      <c r="S7" s="3">
        <f t="shared" si="9"/>
        <v>26.530706474272229</v>
      </c>
      <c r="T7" s="5">
        <f>[1]original!L7/10000</f>
        <v>5.6375000000000002</v>
      </c>
      <c r="U7" s="5">
        <f>[1]original!Q7/10000</f>
        <v>0.45886040693295199</v>
      </c>
      <c r="V7" s="5">
        <f>[1]original!Y7/10000</f>
        <v>0.14099999999999899</v>
      </c>
      <c r="W7" s="5">
        <f>[1]original!AB7/10000</f>
        <v>5.7789017341040405E-4</v>
      </c>
      <c r="X7" s="5">
        <f>[1]original!T7/10000</f>
        <v>2.1579944547134899</v>
      </c>
      <c r="Y7" s="5">
        <f>[1]original!S7/10000</f>
        <v>24.405970149253697</v>
      </c>
      <c r="Z7" s="5">
        <f>[1]original!M7/10000</f>
        <v>5.91E-2</v>
      </c>
      <c r="AA7" s="5">
        <f>[1]original!N7/10000</f>
        <v>0.75988805970149198</v>
      </c>
      <c r="AB7" s="5">
        <f>[1]original!O7/10000</f>
        <v>0</v>
      </c>
      <c r="AC7" s="5">
        <f>[1]original!P7/10000</f>
        <v>0.51371060114852596</v>
      </c>
      <c r="AD7" s="5">
        <f>[1]original!R7/10000</f>
        <v>0.49210148396361802</v>
      </c>
      <c r="AE7" s="5">
        <f>[1]original!U7/10000</f>
        <v>1.7035447761193998</v>
      </c>
      <c r="AF7" s="5">
        <f>[1]original!V7/10000</f>
        <v>0.66194029850746205</v>
      </c>
      <c r="AG7" s="5">
        <f>[1]original!W7/10000</f>
        <v>9.3263401109057301E-2</v>
      </c>
      <c r="AH7" s="5">
        <f>[1]original!X7/10000</f>
        <v>7.2014925373134309E-2</v>
      </c>
      <c r="AI7" s="5">
        <f>[1]original!Z7/10000</f>
        <v>20.044776119403</v>
      </c>
      <c r="AJ7" s="5">
        <f>[1]original!AA7/10000</f>
        <v>2.9999999999999997E-4</v>
      </c>
    </row>
    <row r="8" spans="1:36" x14ac:dyDescent="0.3">
      <c r="A8" s="1">
        <v>126</v>
      </c>
      <c r="B8" s="3">
        <v>406.11517499992601</v>
      </c>
      <c r="C8" s="3">
        <v>-497.62031999789099</v>
      </c>
      <c r="D8" s="3">
        <v>339.53</v>
      </c>
      <c r="E8" s="4">
        <v>20.47696369694636</v>
      </c>
      <c r="F8" s="3">
        <f t="shared" si="0"/>
        <v>28.002198396508788</v>
      </c>
      <c r="G8" s="3">
        <f t="shared" si="1"/>
        <v>33.891038613120173</v>
      </c>
      <c r="H8" s="3">
        <v>2236.9272904387499</v>
      </c>
      <c r="I8" s="3">
        <v>111.79596686873001</v>
      </c>
      <c r="J8" s="4">
        <v>0.90721172298728403</v>
      </c>
      <c r="K8" s="1">
        <v>150</v>
      </c>
      <c r="L8" s="3">
        <f t="shared" si="2"/>
        <v>22.828488423719037</v>
      </c>
      <c r="M8" s="3">
        <f t="shared" si="3"/>
        <v>30.967411461297072</v>
      </c>
      <c r="N8" s="3">
        <f t="shared" si="4"/>
        <v>30.967411461297072</v>
      </c>
      <c r="O8" s="4">
        <f t="shared" si="7"/>
        <v>0.69241306895490873</v>
      </c>
      <c r="P8" s="4">
        <f t="shared" si="5"/>
        <v>0.95607835897449056</v>
      </c>
      <c r="Q8" s="3">
        <f t="shared" si="8"/>
        <v>3.780652034696347</v>
      </c>
      <c r="R8" s="3">
        <f t="shared" si="6"/>
        <v>23.048327929760411</v>
      </c>
      <c r="S8" s="3">
        <f t="shared" si="9"/>
        <v>26.828979964456757</v>
      </c>
      <c r="T8" s="5">
        <f>[1]original!L8/10000</f>
        <v>5.7919400187441301</v>
      </c>
      <c r="U8" s="5">
        <f>[1]original!Q8/10000</f>
        <v>0.37390773809523797</v>
      </c>
      <c r="V8" s="5">
        <f>[1]original!Y8/10000</f>
        <v>0.113</v>
      </c>
      <c r="W8" s="5">
        <f>[1]original!AB8/10000</f>
        <v>5.9805583250249197E-4</v>
      </c>
      <c r="X8" s="5">
        <f>[1]original!T8/10000</f>
        <v>2.4306267539756701</v>
      </c>
      <c r="Y8" s="5">
        <f>[1]original!S8/10000</f>
        <v>26.542642924086202</v>
      </c>
      <c r="Z8" s="5">
        <f>[1]original!M8/10000</f>
        <v>3.04E-2</v>
      </c>
      <c r="AA8" s="5">
        <f>[1]original!N8/10000</f>
        <v>0.338706654170571</v>
      </c>
      <c r="AB8" s="5">
        <f>[1]original!O8/10000</f>
        <v>0</v>
      </c>
      <c r="AC8" s="5">
        <f>[1]original!P8/10000</f>
        <v>0.41487732778880199</v>
      </c>
      <c r="AD8" s="5">
        <f>[1]original!R8/10000</f>
        <v>0.25812807881773403</v>
      </c>
      <c r="AE8" s="5">
        <f>[1]original!U8/10000</f>
        <v>0.67516401124648395</v>
      </c>
      <c r="AF8" s="5">
        <f>[1]original!V8/10000</f>
        <v>0.42324273664479795</v>
      </c>
      <c r="AG8" s="5">
        <f>[1]original!W8/10000</f>
        <v>5.9966043030869901E-2</v>
      </c>
      <c r="AH8" s="5">
        <f>[1]original!X8/10000</f>
        <v>2.3E-2</v>
      </c>
      <c r="AI8" s="5">
        <f>[1]original!Z8/10000</f>
        <v>20.177132146204301</v>
      </c>
      <c r="AJ8" s="5">
        <f>[1]original!AA8/10000</f>
        <v>2.9999999999999997E-4</v>
      </c>
    </row>
    <row r="9" spans="1:36" x14ac:dyDescent="0.3">
      <c r="A9" s="1">
        <v>127</v>
      </c>
      <c r="B9" s="3">
        <v>500.95517499989302</v>
      </c>
      <c r="C9" s="3">
        <v>-384.29031999781699</v>
      </c>
      <c r="D9" s="3">
        <v>251.97</v>
      </c>
      <c r="E9" s="4">
        <v>17.743907517154231</v>
      </c>
      <c r="F9" s="3">
        <f t="shared" si="0"/>
        <v>32.315317212156096</v>
      </c>
      <c r="G9" s="3">
        <f t="shared" si="1"/>
        <v>38.006503228486409</v>
      </c>
      <c r="H9" s="3">
        <v>2241.26835383048</v>
      </c>
      <c r="I9" s="3">
        <v>100.48148689438599</v>
      </c>
      <c r="J9" s="4">
        <v>1.16017415453553</v>
      </c>
      <c r="K9" s="1">
        <v>150</v>
      </c>
      <c r="L9" s="3">
        <f t="shared" si="2"/>
        <v>17.424398117343021</v>
      </c>
      <c r="M9" s="3">
        <f t="shared" si="3"/>
        <v>22.966138015769538</v>
      </c>
      <c r="N9" s="3">
        <f t="shared" si="4"/>
        <v>22.966138015769538</v>
      </c>
      <c r="O9" s="4">
        <f t="shared" si="7"/>
        <v>0.69241306895490873</v>
      </c>
      <c r="P9" s="4">
        <f t="shared" si="5"/>
        <v>0.92508947540715258</v>
      </c>
      <c r="Q9" s="3">
        <f t="shared" si="8"/>
        <v>4.2215628041482391</v>
      </c>
      <c r="R9" s="3">
        <f t="shared" si="6"/>
        <v>20.607165971523411</v>
      </c>
      <c r="S9" s="3">
        <f t="shared" si="9"/>
        <v>24.828728775671649</v>
      </c>
      <c r="T9" s="5">
        <f>[1]original!L9/10000</f>
        <v>6.5495601173020503</v>
      </c>
      <c r="U9" s="5">
        <f>[1]original!Q9/10000</f>
        <v>0.46969798657718104</v>
      </c>
      <c r="V9" s="5">
        <f>[1]original!Y9/10000</f>
        <v>0.13600000000000001</v>
      </c>
      <c r="W9" s="5">
        <f>[1]original!AB9/10000</f>
        <v>9.0100925925925798E-4</v>
      </c>
      <c r="X9" s="5">
        <f>[1]original!T9/10000</f>
        <v>1.4906267539756599</v>
      </c>
      <c r="Y9" s="5">
        <f>[1]original!S9/10000</f>
        <v>22.799022482893299</v>
      </c>
      <c r="Z9" s="5">
        <f>[1]original!M9/10000</f>
        <v>4.4299999999999999E-2</v>
      </c>
      <c r="AA9" s="5">
        <f>[1]original!N9/10000</f>
        <v>0.82033235581622599</v>
      </c>
      <c r="AB9" s="5">
        <f>[1]original!O9/10000</f>
        <v>0</v>
      </c>
      <c r="AC9" s="5">
        <f>[1]original!P9/10000</f>
        <v>0.23617245465176401</v>
      </c>
      <c r="AD9" s="5">
        <f>[1]original!R9/10000</f>
        <v>0.22465208747514898</v>
      </c>
      <c r="AE9" s="5">
        <f>[1]original!U9/10000</f>
        <v>1.2574780058651001</v>
      </c>
      <c r="AF9" s="5">
        <f>[1]original!V9/10000</f>
        <v>0.87057673509286393</v>
      </c>
      <c r="AG9" s="5">
        <f>[1]original!W9/10000</f>
        <v>6.04592142188961E-2</v>
      </c>
      <c r="AH9" s="5">
        <f>[1]original!X9/10000</f>
        <v>0.10498533724340101</v>
      </c>
      <c r="AI9" s="5">
        <f>[1]original!Z9/10000</f>
        <v>21.330987292277602</v>
      </c>
      <c r="AJ9" s="5">
        <f>[1]original!AA9/10000</f>
        <v>2.9999999999999997E-4</v>
      </c>
    </row>
    <row r="10" spans="1:36" x14ac:dyDescent="0.3">
      <c r="A10" s="1">
        <v>128</v>
      </c>
      <c r="B10" s="3">
        <v>206.02517499995801</v>
      </c>
      <c r="C10" s="3">
        <v>-172.02031999640101</v>
      </c>
      <c r="D10" s="3">
        <v>348.31</v>
      </c>
      <c r="E10" s="4">
        <v>24.307018020129913</v>
      </c>
      <c r="F10" s="3">
        <f t="shared" si="0"/>
        <v>23.58989488242192</v>
      </c>
      <c r="G10" s="3">
        <f t="shared" si="1"/>
        <v>29.546903936810878</v>
      </c>
      <c r="H10" s="3">
        <v>1941.39327523937</v>
      </c>
      <c r="I10" s="3">
        <v>127.312483943404</v>
      </c>
      <c r="J10" s="4">
        <v>1.01592421759429</v>
      </c>
      <c r="K10" s="1">
        <v>150</v>
      </c>
      <c r="L10" s="3">
        <f t="shared" si="2"/>
        <v>23.172833062056789</v>
      </c>
      <c r="M10" s="3">
        <f t="shared" si="3"/>
        <v>30.541202961490111</v>
      </c>
      <c r="N10" s="3">
        <f t="shared" si="4"/>
        <v>30.541202961490111</v>
      </c>
      <c r="O10" s="4">
        <f t="shared" si="7"/>
        <v>0.69241306895490873</v>
      </c>
      <c r="P10" s="4">
        <f t="shared" si="5"/>
        <v>0.99453643033831496</v>
      </c>
      <c r="Q10" s="3">
        <f t="shared" si="8"/>
        <v>3.3130484954247854</v>
      </c>
      <c r="R10" s="3">
        <f t="shared" si="6"/>
        <v>21.672529884748442</v>
      </c>
      <c r="S10" s="3">
        <f t="shared" si="9"/>
        <v>24.985578380173227</v>
      </c>
      <c r="T10" s="5">
        <f>[1]original!L10/10000</f>
        <v>5.5489483747609896</v>
      </c>
      <c r="U10" s="5">
        <f>[1]original!Q10/10000</f>
        <v>0.33045955002393296</v>
      </c>
      <c r="V10" s="5">
        <f>[1]original!Y10/10000</f>
        <v>9.3700000000000006E-2</v>
      </c>
      <c r="W10" s="5">
        <f>[1]original!AB10/10000</f>
        <v>5.5649514563106792E-4</v>
      </c>
      <c r="X10" s="5">
        <f>[1]original!T10/10000</f>
        <v>2.9000387221684401</v>
      </c>
      <c r="Y10" s="5">
        <f>[1]original!S10/10000</f>
        <v>23.842638623326902</v>
      </c>
      <c r="Z10" s="5">
        <f>[1]original!M10/10000</f>
        <v>3.8600000000000002E-2</v>
      </c>
      <c r="AA10" s="5">
        <f>[1]original!N10/10000</f>
        <v>0.31223709369024799</v>
      </c>
      <c r="AB10" s="5">
        <f>[1]original!O10/10000</f>
        <v>0</v>
      </c>
      <c r="AC10" s="5">
        <f>[1]original!P10/10000</f>
        <v>0.66766637222417402</v>
      </c>
      <c r="AD10" s="5">
        <f>[1]original!R10/10000</f>
        <v>0.25986525505293501</v>
      </c>
      <c r="AE10" s="5">
        <f>[1]original!U10/10000</f>
        <v>0.49904397705544895</v>
      </c>
      <c r="AF10" s="5">
        <f>[1]original!V10/10000</f>
        <v>0.56214149139579306</v>
      </c>
      <c r="AG10" s="5">
        <f>[1]original!W10/10000</f>
        <v>4.00248789932236E-2</v>
      </c>
      <c r="AH10" s="5">
        <f>[1]original!X10/10000</f>
        <v>2.3E-2</v>
      </c>
      <c r="AI10" s="5">
        <f>[1]original!Z10/10000</f>
        <v>22.5508604206501</v>
      </c>
      <c r="AJ10" s="5">
        <f>[1]original!AA10/10000</f>
        <v>2.9999999999999997E-4</v>
      </c>
    </row>
    <row r="11" spans="1:36" x14ac:dyDescent="0.3">
      <c r="A11" s="1">
        <v>129</v>
      </c>
      <c r="B11" s="3">
        <v>462.46517499990199</v>
      </c>
      <c r="C11" s="3">
        <v>-195.150319997221</v>
      </c>
      <c r="D11" s="3">
        <v>144.25</v>
      </c>
      <c r="E11" s="4">
        <v>22.929721116830006</v>
      </c>
      <c r="F11" s="3">
        <f t="shared" si="0"/>
        <v>25.006845791034703</v>
      </c>
      <c r="G11" s="3">
        <f t="shared" si="1"/>
        <v>30.958385826059214</v>
      </c>
      <c r="H11" s="3">
        <v>2111.5071905924401</v>
      </c>
      <c r="I11" s="3">
        <v>117.742402915749</v>
      </c>
      <c r="J11" s="4">
        <v>1.13845430173183</v>
      </c>
      <c r="K11" s="1">
        <v>150</v>
      </c>
      <c r="L11" s="3">
        <f t="shared" si="2"/>
        <v>19.768292692001324</v>
      </c>
      <c r="M11" s="3">
        <f t="shared" si="3"/>
        <v>25.655321596291419</v>
      </c>
      <c r="N11" s="3">
        <f t="shared" si="4"/>
        <v>25.655321596291419</v>
      </c>
      <c r="O11" s="4">
        <f t="shared" si="7"/>
        <v>0.69241306895490873</v>
      </c>
      <c r="P11" s="4">
        <f t="shared" si="5"/>
        <v>0.98128266494622018</v>
      </c>
      <c r="Q11" s="3">
        <f t="shared" si="8"/>
        <v>3.4652465031454636</v>
      </c>
      <c r="R11" s="3">
        <f t="shared" si="6"/>
        <v>19.881141087163353</v>
      </c>
      <c r="S11" s="3">
        <f t="shared" si="9"/>
        <v>23.346387590308815</v>
      </c>
      <c r="T11" s="5">
        <f>[1]original!L11/10000</f>
        <v>2.7162609542356297</v>
      </c>
      <c r="U11" s="5">
        <f>[1]original!Q11/10000</f>
        <v>0.67954375896700103</v>
      </c>
      <c r="V11" s="5">
        <f>[1]original!Y11/10000</f>
        <v>0.29899999999999999</v>
      </c>
      <c r="W11" s="5">
        <f>[1]original!AB11/10000</f>
        <v>1.24518190757128E-3</v>
      </c>
      <c r="X11" s="5">
        <f>[1]original!T11/10000</f>
        <v>0.86393113207547101</v>
      </c>
      <c r="Y11" s="5">
        <f>[1]original!S11/10000</f>
        <v>43.180915287244403</v>
      </c>
      <c r="Z11" s="5">
        <f>[1]original!M11/10000</f>
        <v>6.8900000000000003E-2</v>
      </c>
      <c r="AA11" s="5">
        <f>[1]original!N11/10000</f>
        <v>0.41363193768256995</v>
      </c>
      <c r="AB11" s="5">
        <f>[1]original!O11/10000</f>
        <v>0</v>
      </c>
      <c r="AC11" s="5">
        <f>[1]original!P11/10000</f>
        <v>0.31980124298266199</v>
      </c>
      <c r="AD11" s="5">
        <f>[1]original!R11/10000</f>
        <v>0.25354206198608398</v>
      </c>
      <c r="AE11" s="5">
        <f>[1]original!U11/10000</f>
        <v>0.81577409931840306</v>
      </c>
      <c r="AF11" s="5">
        <f>[1]original!V11/10000</f>
        <v>1.0284323271664899</v>
      </c>
      <c r="AG11" s="5">
        <f>[1]original!W11/10000</f>
        <v>1.55E-2</v>
      </c>
      <c r="AH11" s="5">
        <f>[1]original!X11/10000</f>
        <v>4.7517039922103203E-2</v>
      </c>
      <c r="AI11" s="5">
        <f>[1]original!Z11/10000</f>
        <v>12.451411879259899</v>
      </c>
      <c r="AJ11" s="5">
        <f>[1]original!AA11/10000</f>
        <v>2.9999999999999997E-4</v>
      </c>
    </row>
    <row r="12" spans="1:36" x14ac:dyDescent="0.3">
      <c r="A12" s="1">
        <v>130</v>
      </c>
      <c r="B12" s="3">
        <v>265.73517499992101</v>
      </c>
      <c r="C12" s="3">
        <v>-26.780319998040699</v>
      </c>
      <c r="D12" s="3">
        <v>171.28</v>
      </c>
      <c r="E12" s="4">
        <v>22.929721116830006</v>
      </c>
      <c r="F12" s="3">
        <f t="shared" si="0"/>
        <v>25.006845791034703</v>
      </c>
      <c r="G12" s="3">
        <f t="shared" si="1"/>
        <v>30.958385826059214</v>
      </c>
      <c r="H12" s="3">
        <v>1912.75483664844</v>
      </c>
      <c r="I12" s="3">
        <v>111.501970325559</v>
      </c>
      <c r="J12" s="4">
        <v>1.2313763223096701</v>
      </c>
      <c r="K12" s="1">
        <v>150</v>
      </c>
      <c r="L12" s="3">
        <f t="shared" si="2"/>
        <v>18.164637302600859</v>
      </c>
      <c r="M12" s="3">
        <f t="shared" si="3"/>
        <v>23.594913100852864</v>
      </c>
      <c r="N12" s="3">
        <f t="shared" si="4"/>
        <v>23.594913100852864</v>
      </c>
      <c r="O12" s="4">
        <f t="shared" si="7"/>
        <v>0.69241306895490873</v>
      </c>
      <c r="P12" s="4">
        <f t="shared" si="5"/>
        <v>0.98128266494622018</v>
      </c>
      <c r="Q12" s="3">
        <f t="shared" si="8"/>
        <v>3.4652465031454636</v>
      </c>
      <c r="R12" s="3">
        <f t="shared" si="6"/>
        <v>18.963206728423124</v>
      </c>
      <c r="S12" s="3">
        <f t="shared" si="9"/>
        <v>22.428453231568589</v>
      </c>
      <c r="T12" s="5">
        <f>[1]original!L12/10000</f>
        <v>3.1725527831094</v>
      </c>
      <c r="U12" s="5">
        <f>[1]original!Q12/10000</f>
        <v>2.0371884057970902</v>
      </c>
      <c r="V12" s="5">
        <f>[1]original!Y12/10000</f>
        <v>0.60399999999999998</v>
      </c>
      <c r="W12" s="5">
        <f>[1]original!AB12/10000</f>
        <v>3.2427788461538397E-3</v>
      </c>
      <c r="X12" s="5">
        <f>[1]original!T12/10000</f>
        <v>0.96620265151515106</v>
      </c>
      <c r="Y12" s="5">
        <f>[1]original!S12/10000</f>
        <v>37.662380038387703</v>
      </c>
      <c r="Z12" s="5">
        <f>[1]original!M12/10000</f>
        <v>5.2200000000000003E-2</v>
      </c>
      <c r="AA12" s="5">
        <f>[1]original!N12/10000</f>
        <v>0.91477927063339703</v>
      </c>
      <c r="AB12" s="5">
        <f>[1]original!O12/10000</f>
        <v>0</v>
      </c>
      <c r="AC12" s="5">
        <f>[1]original!P12/10000</f>
        <v>0.29870604604092499</v>
      </c>
      <c r="AD12" s="5">
        <f>[1]original!R12/10000</f>
        <v>0.49043648847474197</v>
      </c>
      <c r="AE12" s="5">
        <f>[1]original!U12/10000</f>
        <v>0.41996161228406897</v>
      </c>
      <c r="AF12" s="5">
        <f>[1]original!V12/10000</f>
        <v>0.95547024952015314</v>
      </c>
      <c r="AG12" s="5">
        <f>[1]original!W12/10000</f>
        <v>1.55E-2</v>
      </c>
      <c r="AH12" s="5">
        <f>[1]original!X12/10000</f>
        <v>9.3857965451055597E-2</v>
      </c>
      <c r="AI12" s="5">
        <f>[1]original!Z12/10000</f>
        <v>14.028406909788799</v>
      </c>
      <c r="AJ12" s="5">
        <f>[1]original!AA12/10000</f>
        <v>2.9999999999999997E-4</v>
      </c>
    </row>
    <row r="13" spans="1:36" x14ac:dyDescent="0.3">
      <c r="A13" s="1">
        <v>131</v>
      </c>
      <c r="B13" s="3">
        <v>80.235174999921497</v>
      </c>
      <c r="C13" s="3">
        <v>70.359680002555194</v>
      </c>
      <c r="D13" s="3">
        <v>155.54</v>
      </c>
      <c r="E13" s="4">
        <v>19.760005386361915</v>
      </c>
      <c r="F13" s="3">
        <f t="shared" si="0"/>
        <v>29.018210713431934</v>
      </c>
      <c r="G13" s="3">
        <f t="shared" si="1"/>
        <v>34.871263184663576</v>
      </c>
      <c r="H13" s="3">
        <v>1949.4563317003999</v>
      </c>
      <c r="I13" s="3">
        <v>131.060448745504</v>
      </c>
      <c r="J13" s="4">
        <v>1.1509299135714599</v>
      </c>
      <c r="K13" s="1">
        <v>150</v>
      </c>
      <c r="L13" s="3">
        <f t="shared" si="2"/>
        <v>21.316715221570337</v>
      </c>
      <c r="M13" s="3">
        <f t="shared" si="3"/>
        <v>27.349110408416504</v>
      </c>
      <c r="N13" s="3">
        <f t="shared" si="4"/>
        <v>27.349110408416504</v>
      </c>
      <c r="O13" s="4">
        <f t="shared" si="7"/>
        <v>0.69241306895490873</v>
      </c>
      <c r="P13" s="4">
        <f t="shared" si="5"/>
        <v>0.9482731035412223</v>
      </c>
      <c r="Q13" s="3">
        <f t="shared" si="8"/>
        <v>3.8858421405277839</v>
      </c>
      <c r="R13" s="3">
        <f t="shared" si="6"/>
        <v>21.703929779217745</v>
      </c>
      <c r="S13" s="3">
        <f t="shared" si="9"/>
        <v>25.58977191974553</v>
      </c>
      <c r="T13" s="5">
        <f>[1]original!L13/10000</f>
        <v>5.2278348937891002</v>
      </c>
      <c r="U13" s="5">
        <f>[1]original!Q13/10000</f>
        <v>0.49295853423336505</v>
      </c>
      <c r="V13" s="5">
        <f>[1]original!Y13/10000</f>
        <v>0.17899999999999999</v>
      </c>
      <c r="W13" s="5">
        <f>[1]original!AB13/10000</f>
        <v>6.5279138099901999E-4</v>
      </c>
      <c r="X13" s="5">
        <f>[1]original!T13/10000</f>
        <v>2.82280219780219</v>
      </c>
      <c r="Y13" s="5">
        <f>[1]original!S13/10000</f>
        <v>26.620084382113198</v>
      </c>
      <c r="Z13" s="5">
        <f>[1]original!M13/10000</f>
        <v>3.7600000000000001E-2</v>
      </c>
      <c r="AA13" s="5">
        <f>[1]original!N13/10000</f>
        <v>0.45132798901137905</v>
      </c>
      <c r="AB13" s="5">
        <f>[1]original!O13/10000</f>
        <v>0</v>
      </c>
      <c r="AC13" s="5">
        <f>[1]original!P13/10000</f>
        <v>0.72299575493044899</v>
      </c>
      <c r="AD13" s="5">
        <f>[1]original!R13/10000</f>
        <v>0.322082931533269</v>
      </c>
      <c r="AE13" s="5">
        <f>[1]original!U13/10000</f>
        <v>0.59612984498065702</v>
      </c>
      <c r="AF13" s="5">
        <f>[1]original!V13/10000</f>
        <v>0.62609852048935</v>
      </c>
      <c r="AG13" s="5">
        <f>[1]original!W13/10000</f>
        <v>7.5033791208791195E-2</v>
      </c>
      <c r="AH13" s="5">
        <f>[1]original!X13/10000</f>
        <v>2.3E-2</v>
      </c>
      <c r="AI13" s="5">
        <f>[1]original!Z13/10000</f>
        <v>19.9576109223099</v>
      </c>
      <c r="AJ13" s="5">
        <f>[1]original!AA13/10000</f>
        <v>2.9999999999999997E-4</v>
      </c>
    </row>
    <row r="14" spans="1:36" x14ac:dyDescent="0.3">
      <c r="A14" s="1">
        <v>26</v>
      </c>
      <c r="B14" s="3">
        <v>772.22161399992103</v>
      </c>
      <c r="C14" s="3">
        <v>-776.74442999623705</v>
      </c>
      <c r="D14" s="3">
        <v>327.350117861</v>
      </c>
      <c r="E14" s="4">
        <v>20.411778240921052</v>
      </c>
      <c r="F14" s="3">
        <f t="shared" si="0"/>
        <v>28.091624023744348</v>
      </c>
      <c r="G14" s="3">
        <f t="shared" si="1"/>
        <v>33.977596409978325</v>
      </c>
      <c r="H14" s="3">
        <v>2297.87661053587</v>
      </c>
      <c r="I14" s="3">
        <v>77.918351413448406</v>
      </c>
      <c r="J14" s="4">
        <v>0.86802265794544797</v>
      </c>
      <c r="K14" s="1">
        <v>106</v>
      </c>
      <c r="L14" s="3">
        <f t="shared" si="2"/>
        <v>20.369782408014881</v>
      </c>
      <c r="M14" s="3">
        <f t="shared" si="3"/>
        <v>29.994890660887915</v>
      </c>
      <c r="N14" s="3">
        <f t="shared" si="4"/>
        <v>27.859121457661139</v>
      </c>
      <c r="O14" s="4">
        <f t="shared" si="7"/>
        <v>0.69241306895490873</v>
      </c>
      <c r="P14" s="4">
        <f t="shared" si="5"/>
        <v>0.95537748583811055</v>
      </c>
      <c r="Q14" s="3">
        <f t="shared" si="8"/>
        <v>3.7899452924291861</v>
      </c>
      <c r="R14" s="3">
        <f t="shared" si="6"/>
        <v>21.687180636297906</v>
      </c>
      <c r="S14" s="3">
        <f t="shared" si="9"/>
        <v>25.477125928727091</v>
      </c>
      <c r="T14" s="5">
        <f>[1]original!L14/10000</f>
        <v>5.6307820160990101</v>
      </c>
      <c r="U14" s="5">
        <f>[1]original!Q14/10000</f>
        <v>0.88983713355048799</v>
      </c>
      <c r="V14" s="5">
        <f>[1]original!Y14/10000</f>
        <v>0.307</v>
      </c>
      <c r="W14" s="5">
        <f>[1]original!AB14/10000</f>
        <v>3.17441176470588E-3</v>
      </c>
      <c r="X14" s="5">
        <f>[1]original!T14/10000</f>
        <v>2.0931122471578298</v>
      </c>
      <c r="Y14" s="5">
        <f>[1]original!S14/10000</f>
        <v>8.5087634477997902</v>
      </c>
      <c r="Z14" s="5">
        <f>[1]original!M14/10000</f>
        <v>0.182</v>
      </c>
      <c r="AA14" s="5">
        <f>[1]original!N14/10000</f>
        <v>1.0874593830146599</v>
      </c>
      <c r="AB14" s="5">
        <f>[1]original!O14/10000</f>
        <v>1.4999999999999999E-2</v>
      </c>
      <c r="AC14" s="5">
        <f>[1]original!P14/10000</f>
        <v>4.42401203209314E-2</v>
      </c>
      <c r="AD14" s="5">
        <f>[1]original!R14/10000</f>
        <v>4.8123195380173199E-2</v>
      </c>
      <c r="AE14" s="5">
        <f>[1]original!U14/10000</f>
        <v>1.32435251334257</v>
      </c>
      <c r="AF14" s="5">
        <f>[1]original!V14/10000</f>
        <v>9.1314091591886498E-2</v>
      </c>
      <c r="AG14" s="5">
        <f>[1]original!W14/10000</f>
        <v>0.75606445260593502</v>
      </c>
      <c r="AH14" s="5">
        <f>[1]original!X14/10000</f>
        <v>8.7561708822280399E-2</v>
      </c>
      <c r="AI14" s="5">
        <f>[1]original!Z14/10000</f>
        <v>31.1339753482725</v>
      </c>
      <c r="AJ14" s="5">
        <f>[1]original!AA14/10000</f>
        <v>0</v>
      </c>
    </row>
    <row r="15" spans="1:36" x14ac:dyDescent="0.3">
      <c r="A15" s="1">
        <v>49</v>
      </c>
      <c r="B15" s="3">
        <v>197.70536099991199</v>
      </c>
      <c r="C15" s="3">
        <v>-17.169069997966201</v>
      </c>
      <c r="D15" s="3">
        <v>-33.551550833599997</v>
      </c>
      <c r="E15" s="4">
        <v>22.648054761505954</v>
      </c>
      <c r="F15" s="3">
        <f t="shared" si="0"/>
        <v>25.317847649087565</v>
      </c>
      <c r="G15" s="3">
        <f t="shared" si="1"/>
        <v>31.266020002380223</v>
      </c>
      <c r="H15" s="3">
        <v>2117.7289674578901</v>
      </c>
      <c r="I15" s="3">
        <v>82.818687991382106</v>
      </c>
      <c r="J15" s="4">
        <v>0.75746172841224402</v>
      </c>
      <c r="K15" s="1">
        <v>106</v>
      </c>
      <c r="L15" s="3">
        <f t="shared" si="2"/>
        <v>23.881273817056599</v>
      </c>
      <c r="M15" s="3">
        <f t="shared" si="3"/>
        <v>35.907978847596141</v>
      </c>
      <c r="N15" s="3">
        <f t="shared" si="4"/>
        <v>33.842961204342622</v>
      </c>
      <c r="O15" s="4">
        <f t="shared" si="7"/>
        <v>0.69241306895490873</v>
      </c>
      <c r="P15" s="4">
        <f t="shared" si="5"/>
        <v>0.97849704300451557</v>
      </c>
      <c r="Q15" s="3">
        <f t="shared" si="8"/>
        <v>3.4983832978242742</v>
      </c>
      <c r="R15" s="3">
        <f t="shared" si="6"/>
        <v>23.612805360406117</v>
      </c>
      <c r="S15" s="3">
        <f t="shared" si="9"/>
        <v>27.11118865823039</v>
      </c>
      <c r="T15" s="5">
        <f>[1]original!L15/10000</f>
        <v>6.02932551319648</v>
      </c>
      <c r="U15" s="5">
        <f>[1]original!Q15/10000</f>
        <v>0.47914230019493098</v>
      </c>
      <c r="V15" s="5">
        <f>[1]original!Y15/10000</f>
        <v>0.12</v>
      </c>
      <c r="W15" s="5">
        <f>[1]original!AB15/10000</f>
        <v>0</v>
      </c>
      <c r="X15" s="5">
        <f>[1]original!T15/10000</f>
        <v>2.77258382642998</v>
      </c>
      <c r="Y15" s="5">
        <f>[1]original!S15/10000</f>
        <v>21.089931573802399</v>
      </c>
      <c r="Z15" s="5">
        <f>[1]original!M15/10000</f>
        <v>4.0500000000000001E-2</v>
      </c>
      <c r="AA15" s="5">
        <f>[1]original!N15/10000</f>
        <v>0.60840664711632397</v>
      </c>
      <c r="AB15" s="5">
        <f>[1]original!O15/10000</f>
        <v>3.3133143598961301E-2</v>
      </c>
      <c r="AC15" s="5">
        <f>[1]original!P15/10000</f>
        <v>0.69147994295766801</v>
      </c>
      <c r="AD15" s="5">
        <f>[1]original!R15/10000</f>
        <v>0.32920178482895296</v>
      </c>
      <c r="AE15" s="5">
        <f>[1]original!U15/10000</f>
        <v>0.38924731182795597</v>
      </c>
      <c r="AF15" s="5">
        <f>[1]original!V15/10000</f>
        <v>0.41994134897360702</v>
      </c>
      <c r="AG15" s="5">
        <f>[1]original!W15/10000</f>
        <v>0.35009861932938802</v>
      </c>
      <c r="AH15" s="5">
        <f>[1]original!X15/10000</f>
        <v>6.0410557184750698E-2</v>
      </c>
      <c r="AI15" s="5">
        <f>[1]original!Z15/10000</f>
        <v>23.244965786901201</v>
      </c>
      <c r="AJ15" s="5">
        <f>[1]original!AA15/10000</f>
        <v>0</v>
      </c>
    </row>
    <row r="16" spans="1:36" x14ac:dyDescent="0.3">
      <c r="A16" s="1">
        <v>52</v>
      </c>
      <c r="B16" s="3">
        <v>-224.67446800006999</v>
      </c>
      <c r="C16" s="3">
        <v>373.90374000370502</v>
      </c>
      <c r="D16" s="3">
        <v>146.91913734100001</v>
      </c>
      <c r="E16" s="4">
        <v>18.556778252170904</v>
      </c>
      <c r="F16" s="3">
        <f t="shared" si="0"/>
        <v>30.899760303646438</v>
      </c>
      <c r="G16" s="3">
        <f t="shared" si="1"/>
        <v>36.668678951341221</v>
      </c>
      <c r="H16" s="3">
        <v>2196.5260856620898</v>
      </c>
      <c r="I16" s="3">
        <v>82.071918076532597</v>
      </c>
      <c r="J16" s="4">
        <v>0.87220996089842395</v>
      </c>
      <c r="K16" s="1">
        <v>106</v>
      </c>
      <c r="L16" s="3">
        <f t="shared" si="2"/>
        <v>21.059645356904909</v>
      </c>
      <c r="M16" s="3">
        <f t="shared" si="3"/>
        <v>30.837175686376483</v>
      </c>
      <c r="N16" s="3">
        <f t="shared" si="4"/>
        <v>29.000660377859145</v>
      </c>
      <c r="O16" s="4">
        <f t="shared" si="7"/>
        <v>0.69241306895490873</v>
      </c>
      <c r="P16" s="4">
        <f t="shared" si="5"/>
        <v>0.93466935141235963</v>
      </c>
      <c r="Q16" s="3">
        <f t="shared" si="8"/>
        <v>4.0784411849863291</v>
      </c>
      <c r="R16" s="3">
        <f t="shared" si="6"/>
        <v>22.930394804811151</v>
      </c>
      <c r="S16" s="3">
        <f t="shared" si="9"/>
        <v>27.008835989797479</v>
      </c>
      <c r="T16" s="5">
        <f>[1]original!L16/10000</f>
        <v>6.4945736434108499</v>
      </c>
      <c r="U16" s="5">
        <f>[1]original!Q16/10000</f>
        <v>0.61199999999999999</v>
      </c>
      <c r="V16" s="5">
        <f>[1]original!Y16/10000</f>
        <v>0.22500000000000001</v>
      </c>
      <c r="W16" s="5">
        <f>[1]original!AB16/10000</f>
        <v>9.9200000000000004E-4</v>
      </c>
      <c r="X16" s="5">
        <f>[1]original!T16/10000</f>
        <v>2.3217582931448302</v>
      </c>
      <c r="Y16" s="5">
        <f>[1]original!S16/10000</f>
        <v>10.8862403100775</v>
      </c>
      <c r="Z16" s="5">
        <f>[1]original!M16/10000</f>
        <v>9.1800000000000007E-2</v>
      </c>
      <c r="AA16" s="5">
        <f>[1]original!N16/10000</f>
        <v>3.6858527131782903</v>
      </c>
      <c r="AB16" s="5">
        <f>[1]original!O16/10000</f>
        <v>3.55594659226783E-2</v>
      </c>
      <c r="AC16" s="5">
        <f>[1]original!P16/10000</f>
        <v>0.28506306904935502</v>
      </c>
      <c r="AD16" s="5">
        <f>[1]original!R16/10000</f>
        <v>0.221172330837866</v>
      </c>
      <c r="AE16" s="5">
        <f>[1]original!U16/10000</f>
        <v>4.9032945736434099</v>
      </c>
      <c r="AF16" s="5">
        <f>[1]original!V16/10000</f>
        <v>0.13895348837209301</v>
      </c>
      <c r="AG16" s="5">
        <f>[1]original!W16/10000</f>
        <v>0.28196405585182699</v>
      </c>
      <c r="AH16" s="5">
        <f>[1]original!X16/10000</f>
        <v>9.6511627906976691E-2</v>
      </c>
      <c r="AI16" s="5">
        <f>[1]original!Z16/10000</f>
        <v>22.2914728682169</v>
      </c>
      <c r="AJ16" s="5">
        <f>[1]original!AA16/10000</f>
        <v>0</v>
      </c>
    </row>
    <row r="17" spans="1:36" x14ac:dyDescent="0.3">
      <c r="A17" s="1">
        <v>58</v>
      </c>
      <c r="B17" s="3">
        <v>313.56445899989899</v>
      </c>
      <c r="C17" s="3">
        <v>-159.97126999683601</v>
      </c>
      <c r="D17" s="3">
        <v>-24.609534049899999</v>
      </c>
      <c r="E17" s="4">
        <v>28.577703074769502</v>
      </c>
      <c r="F17" s="3">
        <f t="shared" si="0"/>
        <v>20.064593662401077</v>
      </c>
      <c r="G17" s="3">
        <f t="shared" si="1"/>
        <v>25.958253596253243</v>
      </c>
      <c r="H17" s="3">
        <v>2158.7366481401</v>
      </c>
      <c r="I17" s="3">
        <v>79.980241592659894</v>
      </c>
      <c r="J17" s="4">
        <v>0.66148621413725806</v>
      </c>
      <c r="K17" s="1">
        <v>106</v>
      </c>
      <c r="L17" s="3">
        <f t="shared" si="2"/>
        <v>26.054824668253868</v>
      </c>
      <c r="M17" s="3">
        <f t="shared" si="3"/>
        <v>40.299565613045978</v>
      </c>
      <c r="N17" s="3">
        <f t="shared" si="4"/>
        <v>37.665419438871133</v>
      </c>
      <c r="O17" s="4">
        <f t="shared" si="7"/>
        <v>0.69241306895490873</v>
      </c>
      <c r="P17" s="4">
        <f t="shared" si="5"/>
        <v>1.0322590345038687</v>
      </c>
      <c r="Q17" s="3">
        <f t="shared" si="8"/>
        <v>2.9248267955322125</v>
      </c>
      <c r="R17" s="3">
        <f t="shared" si="6"/>
        <v>23.866769948660462</v>
      </c>
      <c r="S17" s="3">
        <f t="shared" si="9"/>
        <v>26.791596744192674</v>
      </c>
      <c r="T17" s="5">
        <f>[1]original!L17/10000</f>
        <v>4.2130393096835999</v>
      </c>
      <c r="U17" s="5">
        <f>[1]original!Q17/10000</f>
        <v>1.45060009601536</v>
      </c>
      <c r="V17" s="5">
        <f>[1]original!Y17/10000</f>
        <v>0.47199999999999998</v>
      </c>
      <c r="W17" s="5">
        <f>[1]original!AB17/10000</f>
        <v>2.6535420560747599E-3</v>
      </c>
      <c r="X17" s="5">
        <f>[1]original!T17/10000</f>
        <v>1.8990779467680601</v>
      </c>
      <c r="Y17" s="5">
        <f>[1]original!S17/10000</f>
        <v>34.839693192713298</v>
      </c>
      <c r="Z17" s="5">
        <f>[1]original!M17/10000</f>
        <v>5.91E-2</v>
      </c>
      <c r="AA17" s="5">
        <f>[1]original!N17/10000</f>
        <v>0.60134228187919403</v>
      </c>
      <c r="AB17" s="5">
        <f>[1]original!O17/10000</f>
        <v>5.4691238189955201E-2</v>
      </c>
      <c r="AC17" s="5">
        <f>[1]original!P17/10000</f>
        <v>0.52195570943316094</v>
      </c>
      <c r="AD17" s="5">
        <f>[1]original!R17/10000</f>
        <v>0.41095890410958902</v>
      </c>
      <c r="AE17" s="5">
        <f>[1]original!U17/10000</f>
        <v>0.63183125599232903</v>
      </c>
      <c r="AF17" s="5">
        <f>[1]original!V17/10000</f>
        <v>0.64659635666347004</v>
      </c>
      <c r="AG17" s="5">
        <f>[1]original!W17/10000</f>
        <v>4.5295152091254696E-2</v>
      </c>
      <c r="AH17" s="5">
        <f>[1]original!X17/10000</f>
        <v>8.6673058485138996E-2</v>
      </c>
      <c r="AI17" s="5">
        <f>[1]original!Z17/10000</f>
        <v>15.9374880153403</v>
      </c>
      <c r="AJ17" s="5">
        <f>[1]original!AA17/10000</f>
        <v>0</v>
      </c>
    </row>
    <row r="18" spans="1:36" x14ac:dyDescent="0.3">
      <c r="A18" s="1">
        <v>65</v>
      </c>
      <c r="B18" s="3">
        <v>-856.16167700011204</v>
      </c>
      <c r="C18" s="3">
        <v>543.79525000229398</v>
      </c>
      <c r="D18" s="3">
        <v>230.22372546</v>
      </c>
      <c r="E18" s="4">
        <v>18.651827786399693</v>
      </c>
      <c r="F18" s="3">
        <f t="shared" si="0"/>
        <v>30.742295423620877</v>
      </c>
      <c r="G18" s="3">
        <f t="shared" si="1"/>
        <v>36.519112028377663</v>
      </c>
      <c r="H18" s="3">
        <v>2112.2218889842702</v>
      </c>
      <c r="I18" s="3">
        <v>76.008749819302693</v>
      </c>
      <c r="J18" s="4">
        <v>1.02380601434397</v>
      </c>
      <c r="K18" s="1">
        <v>106</v>
      </c>
      <c r="L18" s="3">
        <f t="shared" si="2"/>
        <v>17.692204473494069</v>
      </c>
      <c r="M18" s="3">
        <f t="shared" si="3"/>
        <v>25.525098619506675</v>
      </c>
      <c r="N18" s="3">
        <f t="shared" si="4"/>
        <v>23.566836157618642</v>
      </c>
      <c r="O18" s="4">
        <f t="shared" si="7"/>
        <v>0.69241306895490873</v>
      </c>
      <c r="P18" s="4">
        <f t="shared" si="5"/>
        <v>0.93576830299906832</v>
      </c>
      <c r="Q18" s="3">
        <f t="shared" si="8"/>
        <v>4.062428340093752</v>
      </c>
      <c r="R18" s="3">
        <f t="shared" si="6"/>
        <v>20.468736414165797</v>
      </c>
      <c r="S18" s="3">
        <f t="shared" si="9"/>
        <v>24.531164754259549</v>
      </c>
      <c r="T18" s="5">
        <f>[1]original!L18/10000</f>
        <v>6.6717647058823495</v>
      </c>
      <c r="U18" s="5">
        <f>[1]original!Q18/10000</f>
        <v>0.34705301284161999</v>
      </c>
      <c r="V18" s="5">
        <f>[1]original!Y18/10000</f>
        <v>0.113</v>
      </c>
      <c r="W18" s="5">
        <f>[1]original!AB18/10000</f>
        <v>5.4461089494163399E-4</v>
      </c>
      <c r="X18" s="5">
        <f>[1]original!T18/10000</f>
        <v>1.2047457627118601</v>
      </c>
      <c r="Y18" s="5">
        <f>[1]original!S18/10000</f>
        <v>16.165686274509802</v>
      </c>
      <c r="Z18" s="5">
        <f>[1]original!M18/10000</f>
        <v>0.10299999999999999</v>
      </c>
      <c r="AA18" s="5">
        <f>[1]original!N18/10000</f>
        <v>2.18686274509803</v>
      </c>
      <c r="AB18" s="5">
        <f>[1]original!O18/10000</f>
        <v>3.0325076968914403E-2</v>
      </c>
      <c r="AC18" s="5">
        <f>[1]original!P18/10000</f>
        <v>0.29043026129166899</v>
      </c>
      <c r="AD18" s="5">
        <f>[1]original!R18/10000</f>
        <v>9.7512437810945193E-2</v>
      </c>
      <c r="AE18" s="5">
        <f>[1]original!U18/10000</f>
        <v>2.3441176470588201</v>
      </c>
      <c r="AF18" s="5">
        <f>[1]original!V18/10000</f>
        <v>0.31745098039215602</v>
      </c>
      <c r="AG18" s="5">
        <f>[1]original!W18/10000</f>
        <v>1.77711864406779</v>
      </c>
      <c r="AH18" s="5">
        <f>[1]original!X18/10000</f>
        <v>7.6470588235294096E-2</v>
      </c>
      <c r="AI18" s="5">
        <f>[1]original!Z18/10000</f>
        <v>22.977843137254901</v>
      </c>
      <c r="AJ18" s="5">
        <f>[1]original!AA18/10000</f>
        <v>0</v>
      </c>
    </row>
    <row r="19" spans="1:36" x14ac:dyDescent="0.3">
      <c r="A19" s="1">
        <v>68</v>
      </c>
      <c r="B19" s="3">
        <v>-1002.07806600013</v>
      </c>
      <c r="C19" s="3">
        <v>578.11043000221196</v>
      </c>
      <c r="D19" s="3">
        <v>260.746504437</v>
      </c>
      <c r="E19" s="4">
        <v>21.389471792393802</v>
      </c>
      <c r="F19" s="3">
        <f t="shared" si="0"/>
        <v>26.807581111184977</v>
      </c>
      <c r="G19" s="3">
        <f t="shared" si="1"/>
        <v>32.729342332163696</v>
      </c>
      <c r="H19" s="3">
        <v>2248.8688248175999</v>
      </c>
      <c r="I19" s="3">
        <v>81.794695467758302</v>
      </c>
      <c r="J19" s="4">
        <v>1.1153484059594201</v>
      </c>
      <c r="K19" s="1">
        <v>106</v>
      </c>
      <c r="L19" s="3">
        <f t="shared" si="2"/>
        <v>17.130069875688918</v>
      </c>
      <c r="M19" s="3">
        <f t="shared" si="3"/>
        <v>23.971467369811105</v>
      </c>
      <c r="N19" s="3">
        <f t="shared" si="4"/>
        <v>22.525541776980493</v>
      </c>
      <c r="O19" s="4">
        <f t="shared" si="7"/>
        <v>0.69241306895490873</v>
      </c>
      <c r="P19" s="4">
        <f t="shared" si="5"/>
        <v>0.96571376746406312</v>
      </c>
      <c r="Q19" s="3">
        <f t="shared" si="8"/>
        <v>3.6558396836877702</v>
      </c>
      <c r="R19" s="3">
        <f t="shared" si="6"/>
        <v>18.970248583417757</v>
      </c>
      <c r="S19" s="3">
        <f t="shared" si="9"/>
        <v>22.626088267105526</v>
      </c>
      <c r="T19" s="5">
        <f>[1]original!L19/10000</f>
        <v>2.9625490196078301</v>
      </c>
      <c r="U19" s="5">
        <f>[1]original!Q19/10000</f>
        <v>2.64720149253731</v>
      </c>
      <c r="V19" s="5">
        <f>[1]original!Y19/10000</f>
        <v>1.1200000000000001</v>
      </c>
      <c r="W19" s="5">
        <f>[1]original!AB19/10000</f>
        <v>4.89295634920635E-3</v>
      </c>
      <c r="X19" s="5">
        <f>[1]original!T19/10000</f>
        <v>0.33901597744360901</v>
      </c>
      <c r="Y19" s="5">
        <f>[1]original!S19/10000</f>
        <v>39.4211764705882</v>
      </c>
      <c r="Z19" s="5">
        <f>[1]original!M19/10000</f>
        <v>4.1099999999999998E-2</v>
      </c>
      <c r="AA19" s="5">
        <f>[1]original!N19/10000</f>
        <v>1.0262745098039201</v>
      </c>
      <c r="AB19" s="5">
        <f>[1]original!O19/10000</f>
        <v>5.8952338861853193E-2</v>
      </c>
      <c r="AC19" s="5">
        <f>[1]original!P19/10000</f>
        <v>9.8760515743670799E-2</v>
      </c>
      <c r="AD19" s="5">
        <f>[1]original!R19/10000</f>
        <v>0.76900726392251795</v>
      </c>
      <c r="AE19" s="5">
        <f>[1]original!U19/10000</f>
        <v>2.09490196078431</v>
      </c>
      <c r="AF19" s="5">
        <f>[1]original!V19/10000</f>
        <v>0.40450980392156799</v>
      </c>
      <c r="AG19" s="5">
        <f>[1]original!W19/10000</f>
        <v>6.7484962406014995E-2</v>
      </c>
      <c r="AH19" s="5">
        <f>[1]original!X19/10000</f>
        <v>0.12627450980392099</v>
      </c>
      <c r="AI19" s="5">
        <f>[1]original!Z19/10000</f>
        <v>12.2186274509803</v>
      </c>
      <c r="AJ19" s="5">
        <f>[1]original!AA19/10000</f>
        <v>0</v>
      </c>
    </row>
    <row r="20" spans="1:36" x14ac:dyDescent="0.3">
      <c r="A20" s="1">
        <v>68</v>
      </c>
      <c r="B20" s="3">
        <v>-1009.58942900004</v>
      </c>
      <c r="C20" s="3">
        <v>559.00165000371601</v>
      </c>
      <c r="D20" s="3">
        <v>220.03226590200001</v>
      </c>
      <c r="E20" s="4">
        <v>26.906781883905037</v>
      </c>
      <c r="F20" s="3">
        <f t="shared" si="0"/>
        <v>21.310612412664387</v>
      </c>
      <c r="G20" s="3">
        <f t="shared" si="1"/>
        <v>27.240051228659002</v>
      </c>
      <c r="H20" s="3">
        <v>2095.48232255631</v>
      </c>
      <c r="I20" s="3">
        <v>81.774973540273507</v>
      </c>
      <c r="J20" s="4">
        <v>0.99067863720336102</v>
      </c>
      <c r="K20" s="1">
        <v>106</v>
      </c>
      <c r="L20" s="3">
        <f t="shared" si="2"/>
        <v>19.03710423930232</v>
      </c>
      <c r="M20" s="3">
        <f t="shared" si="3"/>
        <v>27.344850944574198</v>
      </c>
      <c r="N20" s="3">
        <f t="shared" si="4"/>
        <v>25.693960473217519</v>
      </c>
      <c r="O20" s="4">
        <f t="shared" si="7"/>
        <v>0.69241306895490873</v>
      </c>
      <c r="P20" s="4">
        <f t="shared" si="5"/>
        <v>1.0180535284692012</v>
      </c>
      <c r="Q20" s="3">
        <f t="shared" si="8"/>
        <v>3.0637098655700963</v>
      </c>
      <c r="R20" s="3">
        <f t="shared" si="6"/>
        <v>18.883276518002013</v>
      </c>
      <c r="S20" s="3">
        <f t="shared" si="9"/>
        <v>21.94698638357211</v>
      </c>
      <c r="T20" s="5">
        <f>[1]original!L20/10000</f>
        <v>1.9416030534351099</v>
      </c>
      <c r="U20" s="5">
        <f>[1]original!Q20/10000</f>
        <v>0.45352756243944897</v>
      </c>
      <c r="V20" s="5">
        <f>[1]original!Y20/10000</f>
        <v>0.158</v>
      </c>
      <c r="W20" s="5">
        <f>[1]original!AB20/10000</f>
        <v>4.7653140096618298E-4</v>
      </c>
      <c r="X20" s="5">
        <f>[1]original!T20/10000</f>
        <v>0.57149665071770295</v>
      </c>
      <c r="Y20" s="5">
        <f>[1]original!S20/10000</f>
        <v>26.329770992366399</v>
      </c>
      <c r="Z20" s="5">
        <f>[1]original!M20/10000</f>
        <v>4.41E-2</v>
      </c>
      <c r="AA20" s="5">
        <f>[1]original!N20/10000</f>
        <v>0.19732824427480899</v>
      </c>
      <c r="AB20" s="5">
        <f>[1]original!O20/10000</f>
        <v>3.9304971717773099E-2</v>
      </c>
      <c r="AC20" s="5">
        <f>[1]original!P20/10000</f>
        <v>0</v>
      </c>
      <c r="AD20" s="5">
        <f>[1]original!R20/10000</f>
        <v>5.8167716917111E-2</v>
      </c>
      <c r="AE20" s="5">
        <f>[1]original!U20/10000</f>
        <v>0.348473282442748</v>
      </c>
      <c r="AF20" s="5">
        <f>[1]original!V20/10000</f>
        <v>0.31526717557251899</v>
      </c>
      <c r="AG20" s="5">
        <f>[1]original!W20/10000</f>
        <v>1.55E-2</v>
      </c>
      <c r="AH20" s="5">
        <f>[1]original!X20/10000</f>
        <v>2.3E-2</v>
      </c>
      <c r="AI20" s="5">
        <f>[1]original!Z20/10000</f>
        <v>25.2131679389312</v>
      </c>
      <c r="AJ20" s="5">
        <f>[1]original!AA20/10000</f>
        <v>0</v>
      </c>
    </row>
    <row r="21" spans="1:36" x14ac:dyDescent="0.3">
      <c r="A21" s="1">
        <v>74</v>
      </c>
      <c r="B21" s="3">
        <v>-568.26127400004702</v>
      </c>
      <c r="C21" s="3">
        <v>459.58591000363202</v>
      </c>
      <c r="D21" s="3">
        <v>152.37113831100001</v>
      </c>
      <c r="E21" s="4">
        <v>18.935568888130817</v>
      </c>
      <c r="F21" s="3">
        <f t="shared" si="0"/>
        <v>30.281635761121404</v>
      </c>
      <c r="G21" s="3">
        <f t="shared" si="1"/>
        <v>36.08067391480008</v>
      </c>
      <c r="H21" s="3">
        <v>2216.7760266923401</v>
      </c>
      <c r="I21" s="3">
        <v>82.175829764574402</v>
      </c>
      <c r="J21" s="4">
        <v>0.84113830582087801</v>
      </c>
      <c r="K21" s="1">
        <v>106</v>
      </c>
      <c r="L21" s="3">
        <f t="shared" si="2"/>
        <v>21.688681050089514</v>
      </c>
      <c r="M21" s="3">
        <f t="shared" si="3"/>
        <v>31.940635797910574</v>
      </c>
      <c r="N21" s="3">
        <f t="shared" si="4"/>
        <v>30.047526900116999</v>
      </c>
      <c r="O21" s="4">
        <f t="shared" si="7"/>
        <v>0.69241306895490873</v>
      </c>
      <c r="P21" s="4">
        <f t="shared" si="5"/>
        <v>0.93902343559335888</v>
      </c>
      <c r="Q21" s="3">
        <f t="shared" si="8"/>
        <v>4.0154743284814787</v>
      </c>
      <c r="R21" s="3">
        <f t="shared" si="6"/>
        <v>23.236264061497593</v>
      </c>
      <c r="S21" s="3">
        <f t="shared" si="9"/>
        <v>27.251738389979071</v>
      </c>
      <c r="T21" s="5">
        <f>[1]original!L21/10000</f>
        <v>6.13043478260869</v>
      </c>
      <c r="U21" s="5">
        <f>[1]original!Q21/10000</f>
        <v>0.54246575342465708</v>
      </c>
      <c r="V21" s="5">
        <f>[1]original!Y21/10000</f>
        <v>0.17</v>
      </c>
      <c r="W21" s="5">
        <f>[1]original!AB21/10000</f>
        <v>0</v>
      </c>
      <c r="X21" s="5">
        <f>[1]original!T21/10000</f>
        <v>2.0688212927756502</v>
      </c>
      <c r="Y21" s="5">
        <f>[1]original!S21/10000</f>
        <v>20.0667296786389</v>
      </c>
      <c r="Z21" s="5">
        <f>[1]original!M21/10000</f>
        <v>7.0300000000000001E-2</v>
      </c>
      <c r="AA21" s="5">
        <f>[1]original!N21/10000</f>
        <v>0.55935727788279699</v>
      </c>
      <c r="AB21" s="5">
        <f>[1]original!O21/10000</f>
        <v>7.2103576395787794E-2</v>
      </c>
      <c r="AC21" s="5">
        <f>[1]original!P21/10000</f>
        <v>0.39219423905073098</v>
      </c>
      <c r="AD21" s="5">
        <f>[1]original!R21/10000</f>
        <v>0.23666343355965</v>
      </c>
      <c r="AE21" s="5">
        <f>[1]original!U21/10000</f>
        <v>1.90340264650283</v>
      </c>
      <c r="AF21" s="5">
        <f>[1]original!V21/10000</f>
        <v>0.40812854442343999</v>
      </c>
      <c r="AG21" s="5">
        <f>[1]original!W21/10000</f>
        <v>0.65836501901140598</v>
      </c>
      <c r="AH21" s="5">
        <f>[1]original!X21/10000</f>
        <v>8.4688090737239999E-2</v>
      </c>
      <c r="AI21" s="5">
        <f>[1]original!Z21/10000</f>
        <v>22.846502835538701</v>
      </c>
      <c r="AJ21" s="5">
        <f>[1]original!AA21/10000</f>
        <v>0</v>
      </c>
    </row>
    <row r="22" spans="1:36" x14ac:dyDescent="0.3">
      <c r="A22" s="1">
        <v>81</v>
      </c>
      <c r="B22" s="3">
        <v>909.55117399990502</v>
      </c>
      <c r="C22" s="3">
        <v>-706.83449999801803</v>
      </c>
      <c r="D22" s="3">
        <v>292.84454406999998</v>
      </c>
      <c r="E22" s="4">
        <v>20.626349708164515</v>
      </c>
      <c r="F22" s="3">
        <f t="shared" si="0"/>
        <v>27.799392917935037</v>
      </c>
      <c r="G22" s="3">
        <f t="shared" si="1"/>
        <v>33.694531734483625</v>
      </c>
      <c r="H22" s="3">
        <v>2211.8514320740901</v>
      </c>
      <c r="I22" s="3">
        <v>80.625705958493</v>
      </c>
      <c r="J22" s="4">
        <v>0.98688175076212603</v>
      </c>
      <c r="K22" s="1">
        <v>106</v>
      </c>
      <c r="L22" s="3">
        <f t="shared" si="2"/>
        <v>18.807253182215543</v>
      </c>
      <c r="M22" s="3">
        <f t="shared" si="3"/>
        <v>26.992274925407525</v>
      </c>
      <c r="N22" s="3">
        <f t="shared" si="4"/>
        <v>25.276662421121859</v>
      </c>
      <c r="O22" s="4">
        <f t="shared" si="7"/>
        <v>0.69241306895490873</v>
      </c>
      <c r="P22" s="4">
        <f t="shared" si="5"/>
        <v>0.95767809901500955</v>
      </c>
      <c r="Q22" s="3">
        <f t="shared" si="8"/>
        <v>3.75955081147228</v>
      </c>
      <c r="R22" s="3">
        <f t="shared" si="6"/>
        <v>20.45939247150466</v>
      </c>
      <c r="S22" s="3">
        <f t="shared" si="9"/>
        <v>24.218943282976941</v>
      </c>
      <c r="T22" s="5">
        <f>[1]original!L22/10000</f>
        <v>6.0470370370370299</v>
      </c>
      <c r="U22" s="5">
        <f>[1]original!Q22/10000</f>
        <v>0.706915408621965</v>
      </c>
      <c r="V22" s="5">
        <f>[1]original!Y22/10000</f>
        <v>0.23499999999999999</v>
      </c>
      <c r="W22" s="5">
        <f>[1]original!AB22/10000</f>
        <v>1.1432893496701199E-3</v>
      </c>
      <c r="X22" s="5">
        <f>[1]original!T22/10000</f>
        <v>1.03060941828254</v>
      </c>
      <c r="Y22" s="5">
        <f>[1]original!S22/10000</f>
        <v>27.435740740740702</v>
      </c>
      <c r="Z22" s="5">
        <f>[1]original!M22/10000</f>
        <v>1.4999999999999999E-2</v>
      </c>
      <c r="AA22" s="5">
        <f>[1]original!N22/10000</f>
        <v>0.61722222222222201</v>
      </c>
      <c r="AB22" s="5">
        <f>[1]original!O22/10000</f>
        <v>1.4999999999999999E-2</v>
      </c>
      <c r="AC22" s="5">
        <f>[1]original!P22/10000</f>
        <v>0.17388421780535701</v>
      </c>
      <c r="AD22" s="5">
        <f>[1]original!R22/10000</f>
        <v>0.23889437314906201</v>
      </c>
      <c r="AE22" s="5">
        <f>[1]original!U22/10000</f>
        <v>1.7162962962962902</v>
      </c>
      <c r="AF22" s="5">
        <f>[1]original!V22/10000</f>
        <v>0.73314814814814799</v>
      </c>
      <c r="AG22" s="5">
        <f>[1]original!W22/10000</f>
        <v>1.55E-2</v>
      </c>
      <c r="AH22" s="5">
        <f>[1]original!X22/10000</f>
        <v>0.11425925925925901</v>
      </c>
      <c r="AI22" s="5">
        <f>[1]original!Z22/10000</f>
        <v>19.579259259259199</v>
      </c>
      <c r="AJ22" s="5">
        <f>[1]original!AA22/10000</f>
        <v>0</v>
      </c>
    </row>
    <row r="23" spans="1:36" x14ac:dyDescent="0.3">
      <c r="A23" s="1">
        <v>3</v>
      </c>
      <c r="B23" s="3">
        <v>-315.88009500002897</v>
      </c>
      <c r="C23" s="3">
        <v>286.88030000217202</v>
      </c>
      <c r="D23" s="3">
        <v>191.31329911099999</v>
      </c>
      <c r="E23" s="4">
        <v>20.131658629363947</v>
      </c>
      <c r="F23" s="3">
        <f t="shared" si="0"/>
        <v>28.482501643637114</v>
      </c>
      <c r="G23" s="3">
        <f t="shared" si="1"/>
        <v>34.355294880402823</v>
      </c>
      <c r="H23" s="3">
        <v>2517.6831523041201</v>
      </c>
      <c r="I23" s="3">
        <v>80.8640611382461</v>
      </c>
      <c r="J23" s="4">
        <v>0.89556038373711</v>
      </c>
      <c r="K23" s="1">
        <v>106</v>
      </c>
      <c r="L23" s="3">
        <f t="shared" si="2"/>
        <v>20.105131908703452</v>
      </c>
      <c r="M23" s="3">
        <f t="shared" si="3"/>
        <v>29.099664492451534</v>
      </c>
      <c r="N23" s="3">
        <f t="shared" si="4"/>
        <v>27.269420304371526</v>
      </c>
      <c r="O23" s="4">
        <f t="shared" si="7"/>
        <v>0.69241306895490873</v>
      </c>
      <c r="P23" s="4">
        <f t="shared" si="5"/>
        <v>0.95234588000231402</v>
      </c>
      <c r="Q23" s="3">
        <f t="shared" si="8"/>
        <v>3.8304864429861607</v>
      </c>
      <c r="R23" s="3">
        <f t="shared" si="6"/>
        <v>21.527571335514999</v>
      </c>
      <c r="S23" s="3">
        <f t="shared" si="9"/>
        <v>25.358057778501159</v>
      </c>
      <c r="T23" s="5">
        <f>[1]original!L23/10000</f>
        <v>5.93008415326248</v>
      </c>
      <c r="U23" s="5">
        <f>[1]original!Q23/10000</f>
        <v>0.70207255728851592</v>
      </c>
      <c r="V23" s="5">
        <f>[1]original!Y23/10000</f>
        <v>0.23200000000000001</v>
      </c>
      <c r="W23" s="5">
        <f>[1]original!AB23/10000</f>
        <v>1.03634596695821E-3</v>
      </c>
      <c r="X23" s="5">
        <f>[1]original!T23/10000</f>
        <v>1.6496103747797599</v>
      </c>
      <c r="Y23" s="5">
        <f>[1]original!S23/10000</f>
        <v>25.873544409259001</v>
      </c>
      <c r="Z23" s="5">
        <f>[1]original!M23/10000</f>
        <v>9.8299999999999998E-2</v>
      </c>
      <c r="AA23" s="5">
        <f>[1]original!N23/10000</f>
        <v>0.313512924708717</v>
      </c>
      <c r="AB23" s="5">
        <f>[1]original!O23/10000</f>
        <v>1.4999999999999999E-2</v>
      </c>
      <c r="AC23" s="5">
        <f>[1]original!P23/10000</f>
        <v>0.30391670643274704</v>
      </c>
      <c r="AD23" s="5">
        <f>[1]original!R23/10000</f>
        <v>0.34347184920433299</v>
      </c>
      <c r="AE23" s="5">
        <f>[1]original!U23/10000</f>
        <v>1.82553247539301</v>
      </c>
      <c r="AF23" s="5">
        <f>[1]original!V23/10000</f>
        <v>0.53574872885913605</v>
      </c>
      <c r="AG23" s="5">
        <f>[1]original!W23/10000</f>
        <v>3.2567076714205806E-2</v>
      </c>
      <c r="AH23" s="5">
        <f>[1]original!X23/10000</f>
        <v>5.9129516902663999E-2</v>
      </c>
      <c r="AI23" s="5">
        <f>[1]original!Z23/10000</f>
        <v>19.3614130127633</v>
      </c>
      <c r="AJ23" s="5">
        <f>[1]original!AA23/10000</f>
        <v>0</v>
      </c>
    </row>
    <row r="24" spans="1:36" x14ac:dyDescent="0.3">
      <c r="A24" s="1">
        <v>15</v>
      </c>
      <c r="B24" s="3">
        <v>-825.52641400007997</v>
      </c>
      <c r="C24" s="3">
        <v>622.300470001995</v>
      </c>
      <c r="D24" s="3">
        <v>217.88873124</v>
      </c>
      <c r="E24" s="4">
        <v>21.019933488413702</v>
      </c>
      <c r="F24" s="3">
        <f t="shared" si="0"/>
        <v>27.278868428202262</v>
      </c>
      <c r="G24" s="3">
        <f t="shared" si="1"/>
        <v>33.18885399490344</v>
      </c>
      <c r="H24" s="3">
        <v>2442.0496781687598</v>
      </c>
      <c r="I24" s="3">
        <v>82.845991840087507</v>
      </c>
      <c r="J24" s="4">
        <v>0.96914634305095004</v>
      </c>
      <c r="K24" s="1">
        <v>106</v>
      </c>
      <c r="L24" s="3">
        <f t="shared" si="2"/>
        <v>19.190287350349173</v>
      </c>
      <c r="M24" s="3">
        <f t="shared" si="3"/>
        <v>27.33921550504683</v>
      </c>
      <c r="N24" s="3">
        <f t="shared" si="4"/>
        <v>25.769013981398871</v>
      </c>
      <c r="O24" s="4">
        <f t="shared" si="7"/>
        <v>0.69241306895490873</v>
      </c>
      <c r="P24" s="4">
        <f t="shared" si="5"/>
        <v>0.96185059218698199</v>
      </c>
      <c r="Q24" s="3">
        <f t="shared" si="8"/>
        <v>3.7052290383061046</v>
      </c>
      <c r="R24" s="3">
        <f t="shared" si="6"/>
        <v>20.540694051234215</v>
      </c>
      <c r="S24" s="3">
        <f t="shared" si="9"/>
        <v>24.245923089540319</v>
      </c>
      <c r="T24" s="5">
        <f>[1]original!L24/10000</f>
        <v>6.6473118279569796</v>
      </c>
      <c r="U24" s="5">
        <f>[1]original!Q24/10000</f>
        <v>0.40787325972155397</v>
      </c>
      <c r="V24" s="5">
        <f>[1]original!Y24/10000</f>
        <v>0.156</v>
      </c>
      <c r="W24" s="5">
        <f>[1]original!AB24/10000</f>
        <v>8.9031539888682594E-4</v>
      </c>
      <c r="X24" s="5">
        <f>[1]original!T24/10000</f>
        <v>1.7489622641509301</v>
      </c>
      <c r="Y24" s="5">
        <f>[1]original!S24/10000</f>
        <v>19.997653958944198</v>
      </c>
      <c r="Z24" s="5">
        <f>[1]original!M24/10000</f>
        <v>1.4999999999999999E-2</v>
      </c>
      <c r="AA24" s="5">
        <f>[1]original!N24/10000</f>
        <v>0.67878787878787794</v>
      </c>
      <c r="AB24" s="5">
        <f>[1]original!O24/10000</f>
        <v>1.4999999999999999E-2</v>
      </c>
      <c r="AC24" s="5">
        <f>[1]original!P24/10000</f>
        <v>0.31853771486273702</v>
      </c>
      <c r="AD24" s="5">
        <f>[1]original!R24/10000</f>
        <v>0.16543574593796101</v>
      </c>
      <c r="AE24" s="5">
        <f>[1]original!U24/10000</f>
        <v>2.0097751710654799</v>
      </c>
      <c r="AF24" s="5">
        <f>[1]original!V24/10000</f>
        <v>0.92082111436950109</v>
      </c>
      <c r="AG24" s="5">
        <f>[1]original!W24/10000</f>
        <v>0.11066037735848999</v>
      </c>
      <c r="AH24" s="5">
        <f>[1]original!X24/10000</f>
        <v>0.16129032258064502</v>
      </c>
      <c r="AI24" s="5">
        <f>[1]original!Z24/10000</f>
        <v>22.0191593352883</v>
      </c>
      <c r="AJ24" s="5">
        <f>[1]original!AA24/10000</f>
        <v>0</v>
      </c>
    </row>
    <row r="25" spans="1:36" x14ac:dyDescent="0.3">
      <c r="A25" s="1">
        <v>18</v>
      </c>
      <c r="B25" s="3">
        <v>-525.015253000077</v>
      </c>
      <c r="C25" s="3">
        <v>297.59969000332001</v>
      </c>
      <c r="D25" s="3">
        <v>182.240634718</v>
      </c>
      <c r="E25" s="4">
        <v>35.596454000008094</v>
      </c>
      <c r="F25" s="3">
        <f t="shared" si="0"/>
        <v>16.108346072894498</v>
      </c>
      <c r="G25" s="3">
        <f t="shared" si="1"/>
        <v>21.775690579770689</v>
      </c>
      <c r="H25" s="3">
        <v>2013.0298697911901</v>
      </c>
      <c r="I25" s="3">
        <v>78.732150867499698</v>
      </c>
      <c r="J25" s="4">
        <v>1.1152145659487001</v>
      </c>
      <c r="K25" s="1">
        <v>106</v>
      </c>
      <c r="L25" s="3">
        <f t="shared" si="2"/>
        <v>16.955735834118702</v>
      </c>
      <c r="M25" s="3">
        <f t="shared" si="3"/>
        <v>24.040403921469451</v>
      </c>
      <c r="N25" s="3">
        <f t="shared" si="4"/>
        <v>22.384369209243459</v>
      </c>
      <c r="O25" s="4">
        <f t="shared" si="7"/>
        <v>0.69241306895490873</v>
      </c>
      <c r="P25" s="4">
        <f t="shared" si="5"/>
        <v>1.0857403014108449</v>
      </c>
      <c r="Q25" s="3">
        <f t="shared" si="8"/>
        <v>2.4697784749373533</v>
      </c>
      <c r="R25" s="3">
        <f t="shared" si="6"/>
        <v>15.917086505303764</v>
      </c>
      <c r="S25" s="3">
        <f t="shared" si="9"/>
        <v>18.386864980241118</v>
      </c>
      <c r="T25" s="5">
        <f>[1]original!L25/10000</f>
        <v>5.0369047619047596</v>
      </c>
      <c r="U25" s="5">
        <f>[1]original!Q25/10000</f>
        <v>0.64238064094179204</v>
      </c>
      <c r="V25" s="5">
        <f>[1]original!Y25/10000</f>
        <v>0.1895</v>
      </c>
      <c r="W25" s="5">
        <f>[1]original!AB25/10000</f>
        <v>2.0835969868173202E-3</v>
      </c>
      <c r="X25" s="5">
        <f>[1]original!T25/10000</f>
        <v>1.72972972972973</v>
      </c>
      <c r="Y25" s="5">
        <f>[1]original!S25/10000</f>
        <v>28.362500000000001</v>
      </c>
      <c r="Z25" s="5">
        <f>[1]original!M25/10000</f>
        <v>8.7249999999999897E-2</v>
      </c>
      <c r="AA25" s="5">
        <f>[1]original!N25/10000</f>
        <v>0.21785714285714197</v>
      </c>
      <c r="AB25" s="5">
        <f>[1]original!O25/10000</f>
        <v>0.102955741626794</v>
      </c>
      <c r="AC25" s="5">
        <f>[1]original!P25/10000</f>
        <v>1.6500000000000001E-2</v>
      </c>
      <c r="AD25" s="5">
        <f>[1]original!R25/10000</f>
        <v>2.3489932885905999E-2</v>
      </c>
      <c r="AE25" s="5">
        <f>[1]original!U25/10000</f>
        <v>0.55218253968253905</v>
      </c>
      <c r="AF25" s="5">
        <f>[1]original!V25/10000</f>
        <v>0.108333333333333</v>
      </c>
      <c r="AG25" s="5">
        <f>[1]original!W25/10000</f>
        <v>0.67799227799227801</v>
      </c>
      <c r="AH25" s="5">
        <f>[1]original!X25/10000</f>
        <v>4.6230158730158698E-2</v>
      </c>
      <c r="AI25" s="5">
        <f>[1]original!Z25/10000</f>
        <v>18.536507936507899</v>
      </c>
      <c r="AJ25" s="5">
        <f>[1]original!AA25/10000</f>
        <v>0</v>
      </c>
    </row>
    <row r="26" spans="1:36" x14ac:dyDescent="0.3">
      <c r="A26" s="1">
        <v>19</v>
      </c>
      <c r="B26" s="3">
        <v>937.75059999991197</v>
      </c>
      <c r="C26" s="3">
        <v>-530.60276999696998</v>
      </c>
      <c r="D26" s="3">
        <v>244.70689304999999</v>
      </c>
      <c r="E26" s="4">
        <v>21.554570514382423</v>
      </c>
      <c r="F26" s="3">
        <f t="shared" si="0"/>
        <v>26.602246591617089</v>
      </c>
      <c r="G26" s="3">
        <f t="shared" si="1"/>
        <v>32.528634116695812</v>
      </c>
      <c r="H26" s="3">
        <v>2452.4337677505901</v>
      </c>
      <c r="I26" s="3">
        <v>81.899967584450394</v>
      </c>
      <c r="J26" s="4">
        <v>1.11718516435568</v>
      </c>
      <c r="K26" s="1">
        <v>106</v>
      </c>
      <c r="L26" s="3">
        <f t="shared" si="2"/>
        <v>16.951060280804963</v>
      </c>
      <c r="M26" s="3">
        <f t="shared" si="3"/>
        <v>23.573018099497748</v>
      </c>
      <c r="N26" s="3">
        <f t="shared" si="4"/>
        <v>22.157965261289984</v>
      </c>
      <c r="O26" s="4">
        <f t="shared" si="7"/>
        <v>0.69241306895490873</v>
      </c>
      <c r="P26" s="4">
        <f t="shared" si="5"/>
        <v>0.96742312637910377</v>
      </c>
      <c r="Q26" s="3">
        <f t="shared" si="8"/>
        <v>3.6342589705858579</v>
      </c>
      <c r="R26" s="3">
        <f t="shared" si="6"/>
        <v>18.751697354525266</v>
      </c>
      <c r="S26" s="3">
        <f t="shared" si="9"/>
        <v>22.385956325111124</v>
      </c>
      <c r="T26" s="5">
        <f>[1]original!L26/10000</f>
        <v>5.89689557855126</v>
      </c>
      <c r="U26" s="5">
        <f>[1]original!Q26/10000</f>
        <v>0.60453514739229008</v>
      </c>
      <c r="V26" s="5">
        <f>[1]original!Y26/10000</f>
        <v>0.39200000000000002</v>
      </c>
      <c r="W26" s="5">
        <f>[1]original!AB26/10000</f>
        <v>3.66044048734769E-3</v>
      </c>
      <c r="X26" s="5">
        <f>[1]original!T26/10000</f>
        <v>0.84050880626223101</v>
      </c>
      <c r="Y26" s="5">
        <f>[1]original!S26/10000</f>
        <v>7.2139228598306593</v>
      </c>
      <c r="Z26" s="5">
        <f>[1]original!M26/10000</f>
        <v>7.5999999999999998E-2</v>
      </c>
      <c r="AA26" s="5">
        <f>[1]original!N26/10000</f>
        <v>2.8308560677328298</v>
      </c>
      <c r="AB26" s="5">
        <f>[1]original!O26/10000</f>
        <v>1.4999999999999999E-2</v>
      </c>
      <c r="AC26" s="5">
        <f>[1]original!P26/10000</f>
        <v>8.0466886661523601E-2</v>
      </c>
      <c r="AD26" s="5">
        <f>[1]original!R26/10000</f>
        <v>8.0827994085756499E-2</v>
      </c>
      <c r="AE26" s="5">
        <f>[1]original!U26/10000</f>
        <v>1.74600188146754</v>
      </c>
      <c r="AF26" s="5">
        <f>[1]original!V26/10000</f>
        <v>9.3885230479774207E-2</v>
      </c>
      <c r="AG26" s="5">
        <f>[1]original!W26/10000</f>
        <v>2.5227005870841399</v>
      </c>
      <c r="AH26" s="5">
        <f>[1]original!X26/10000</f>
        <v>6.1147695202257706E-2</v>
      </c>
      <c r="AI26" s="5">
        <f>[1]original!Z26/10000</f>
        <v>29.6605832549388</v>
      </c>
      <c r="AJ26" s="5">
        <f>[1]original!AA26/10000</f>
        <v>0</v>
      </c>
    </row>
    <row r="27" spans="1:36" x14ac:dyDescent="0.3">
      <c r="A27" s="1">
        <v>28</v>
      </c>
      <c r="B27" s="3">
        <v>-521.629283000133</v>
      </c>
      <c r="C27" s="3">
        <v>309.86124000325799</v>
      </c>
      <c r="D27" s="3">
        <v>279.70638438100002</v>
      </c>
      <c r="E27" s="4">
        <v>18.282643232337268</v>
      </c>
      <c r="F27" s="3">
        <f t="shared" si="0"/>
        <v>31.363079873800942</v>
      </c>
      <c r="G27" s="3">
        <f t="shared" si="1"/>
        <v>37.107879610250635</v>
      </c>
      <c r="H27" s="3">
        <v>2346.9336993520101</v>
      </c>
      <c r="I27" s="3">
        <v>80.501431171752103</v>
      </c>
      <c r="J27" s="4">
        <v>0.97640651203220896</v>
      </c>
      <c r="K27" s="1">
        <v>106</v>
      </c>
      <c r="L27" s="3">
        <f t="shared" si="2"/>
        <v>18.824858912475559</v>
      </c>
      <c r="M27" s="3">
        <f t="shared" si="3"/>
        <v>26.969134019758091</v>
      </c>
      <c r="N27" s="3">
        <f t="shared" si="4"/>
        <v>25.245644255339151</v>
      </c>
      <c r="O27" s="4">
        <f t="shared" si="7"/>
        <v>0.69241306895490873</v>
      </c>
      <c r="P27" s="4">
        <f t="shared" si="5"/>
        <v>0.93147536939938713</v>
      </c>
      <c r="Q27" s="3">
        <f t="shared" si="8"/>
        <v>4.1254485078465448</v>
      </c>
      <c r="R27" s="3">
        <f t="shared" si="6"/>
        <v>21.377392968234439</v>
      </c>
      <c r="S27" s="3">
        <f t="shared" si="9"/>
        <v>25.502841476080985</v>
      </c>
      <c r="T27" s="5">
        <f>[1]original!L27/10000</f>
        <v>5.4702602230483199</v>
      </c>
      <c r="U27" s="5">
        <f>[1]original!Q27/10000</f>
        <v>0.60503875968992193</v>
      </c>
      <c r="V27" s="5">
        <f>[1]original!Y27/10000</f>
        <v>0.20499999999999999</v>
      </c>
      <c r="W27" s="5">
        <f>[1]original!AB27/10000</f>
        <v>7.0157894736842103E-4</v>
      </c>
      <c r="X27" s="5">
        <f>[1]original!T27/10000</f>
        <v>0.94576923076922992</v>
      </c>
      <c r="Y27" s="5">
        <f>[1]original!S27/10000</f>
        <v>26.874163568773202</v>
      </c>
      <c r="Z27" s="5">
        <f>[1]original!M27/10000</f>
        <v>5.1999999999999998E-2</v>
      </c>
      <c r="AA27" s="5">
        <f>[1]original!N27/10000</f>
        <v>0.48884758364312203</v>
      </c>
      <c r="AB27" s="5">
        <f>[1]original!O27/10000</f>
        <v>4.1739580224808497E-2</v>
      </c>
      <c r="AC27" s="5">
        <f>[1]original!P27/10000</f>
        <v>0.22734395039202399</v>
      </c>
      <c r="AD27" s="5">
        <f>[1]original!R27/10000</f>
        <v>0.13030602171767</v>
      </c>
      <c r="AE27" s="5">
        <f>[1]original!U27/10000</f>
        <v>1.3613382899628201</v>
      </c>
      <c r="AF27" s="5">
        <f>[1]original!V27/10000</f>
        <v>0.69089219330855001</v>
      </c>
      <c r="AG27" s="5">
        <f>[1]original!W27/10000</f>
        <v>0.27596153846153804</v>
      </c>
      <c r="AH27" s="5">
        <f>[1]original!X27/10000</f>
        <v>2.3E-2</v>
      </c>
      <c r="AI27" s="5">
        <f>[1]original!Z27/10000</f>
        <v>20.777881040892101</v>
      </c>
      <c r="AJ27" s="5">
        <f>[1]original!AA27/10000</f>
        <v>0</v>
      </c>
    </row>
    <row r="28" spans="1:36" x14ac:dyDescent="0.3">
      <c r="A28" s="1">
        <v>28</v>
      </c>
      <c r="B28" s="3">
        <v>-519.80266800010497</v>
      </c>
      <c r="C28" s="3">
        <v>316.34585000201997</v>
      </c>
      <c r="D28" s="3">
        <v>262.04796600499998</v>
      </c>
      <c r="E28" s="4">
        <v>18.535384835700537</v>
      </c>
      <c r="F28" s="3">
        <f t="shared" si="0"/>
        <v>30.935424599093768</v>
      </c>
      <c r="G28" s="3">
        <f t="shared" si="1"/>
        <v>36.702533239283831</v>
      </c>
      <c r="H28" s="3">
        <v>2264.5036720429998</v>
      </c>
      <c r="I28" s="3">
        <v>80.738406153066407</v>
      </c>
      <c r="J28" s="4">
        <v>0.96426315379518901</v>
      </c>
      <c r="K28" s="1">
        <v>106</v>
      </c>
      <c r="L28" s="3">
        <f t="shared" si="2"/>
        <v>19.13196210367926</v>
      </c>
      <c r="M28" s="3">
        <f t="shared" si="3"/>
        <v>27.524186670128806</v>
      </c>
      <c r="N28" s="3">
        <f t="shared" si="4"/>
        <v>25.783408424910721</v>
      </c>
      <c r="O28" s="4">
        <f t="shared" si="7"/>
        <v>0.69241306895490873</v>
      </c>
      <c r="P28" s="4">
        <f t="shared" si="5"/>
        <v>0.93442140589750178</v>
      </c>
      <c r="Q28" s="3">
        <f t="shared" si="8"/>
        <v>4.0820653323282095</v>
      </c>
      <c r="R28" s="3">
        <f t="shared" si="6"/>
        <v>21.506316100740204</v>
      </c>
      <c r="S28" s="3">
        <f t="shared" si="9"/>
        <v>25.588381433068413</v>
      </c>
      <c r="T28" s="5">
        <f>[1]original!L28/10000</f>
        <v>5.6127619047619</v>
      </c>
      <c r="U28" s="5">
        <f>[1]original!Q28/10000</f>
        <v>0.70254652301664999</v>
      </c>
      <c r="V28" s="5">
        <f>[1]original!Y28/10000</f>
        <v>0.252</v>
      </c>
      <c r="W28" s="5">
        <f>[1]original!AB28/10000</f>
        <v>1.1203820439350499E-3</v>
      </c>
      <c r="X28" s="5">
        <f>[1]original!T28/10000</f>
        <v>1.1236538461538399</v>
      </c>
      <c r="Y28" s="5">
        <f>[1]original!S28/10000</f>
        <v>24.746857142857102</v>
      </c>
      <c r="Z28" s="5">
        <f>[1]original!M28/10000</f>
        <v>5.2999999999999999E-2</v>
      </c>
      <c r="AA28" s="5">
        <f>[1]original!N28/10000</f>
        <v>0.41771428571428498</v>
      </c>
      <c r="AB28" s="5">
        <f>[1]original!O28/10000</f>
        <v>4.7493088015912399E-2</v>
      </c>
      <c r="AC28" s="5">
        <f>[1]original!P28/10000</f>
        <v>0.23324415944746302</v>
      </c>
      <c r="AD28" s="5">
        <f>[1]original!R28/10000</f>
        <v>0.22211584490186601</v>
      </c>
      <c r="AE28" s="5">
        <f>[1]original!U28/10000</f>
        <v>1.63009523809523</v>
      </c>
      <c r="AF28" s="5">
        <f>[1]original!V28/10000</f>
        <v>0.54514285714285693</v>
      </c>
      <c r="AG28" s="5">
        <f>[1]original!W28/10000</f>
        <v>0.24019230769230698</v>
      </c>
      <c r="AH28" s="5">
        <f>[1]original!X28/10000</f>
        <v>6.3428571428571404E-2</v>
      </c>
      <c r="AI28" s="5">
        <f>[1]original!Z28/10000</f>
        <v>21.2862857142857</v>
      </c>
      <c r="AJ28" s="5">
        <f>[1]original!AA28/10000</f>
        <v>0</v>
      </c>
    </row>
    <row r="29" spans="1:36" x14ac:dyDescent="0.3">
      <c r="A29" s="1">
        <v>28</v>
      </c>
      <c r="B29" s="3">
        <v>-517.060408000135</v>
      </c>
      <c r="C29" s="3">
        <v>325.97538000345202</v>
      </c>
      <c r="D29" s="3">
        <v>236.11372578199999</v>
      </c>
      <c r="E29" s="4">
        <v>18.162592282102711</v>
      </c>
      <c r="F29" s="3">
        <f t="shared" si="0"/>
        <v>31.570383296277825</v>
      </c>
      <c r="G29" s="3">
        <f t="shared" si="1"/>
        <v>37.303970535701005</v>
      </c>
      <c r="H29" s="3">
        <v>2455.27196359564</v>
      </c>
      <c r="I29" s="3">
        <v>80.470627749733197</v>
      </c>
      <c r="J29" s="4">
        <v>0.94704060032427795</v>
      </c>
      <c r="K29" s="1">
        <v>106</v>
      </c>
      <c r="L29" s="3">
        <f t="shared" si="2"/>
        <v>19.200309809403748</v>
      </c>
      <c r="M29" s="3">
        <f t="shared" si="3"/>
        <v>27.577717978224289</v>
      </c>
      <c r="N29" s="3">
        <f t="shared" si="4"/>
        <v>25.812964953593028</v>
      </c>
      <c r="O29" s="4">
        <f t="shared" si="7"/>
        <v>0.69241306895490873</v>
      </c>
      <c r="P29" s="4">
        <f t="shared" si="5"/>
        <v>0.93006502029162408</v>
      </c>
      <c r="Q29" s="3">
        <f t="shared" si="8"/>
        <v>4.1464292241785943</v>
      </c>
      <c r="R29" s="3">
        <f t="shared" si="6"/>
        <v>21.683671912511329</v>
      </c>
      <c r="S29" s="3">
        <f t="shared" si="9"/>
        <v>25.830101136689922</v>
      </c>
      <c r="T29" s="5">
        <f>[1]original!L29/10000</f>
        <v>6.2420664206642007</v>
      </c>
      <c r="U29" s="5">
        <f>[1]original!Q29/10000</f>
        <v>0.47392996108949403</v>
      </c>
      <c r="V29" s="5">
        <f>[1]original!Y29/10000</f>
        <v>0.17399999999999899</v>
      </c>
      <c r="W29" s="5">
        <f>[1]original!AB29/10000</f>
        <v>6.7284761904761901E-4</v>
      </c>
      <c r="X29" s="5">
        <f>[1]original!T29/10000</f>
        <v>0.98798486281929909</v>
      </c>
      <c r="Y29" s="5">
        <f>[1]original!S29/10000</f>
        <v>24.7429889298893</v>
      </c>
      <c r="Z29" s="5">
        <f>[1]original!M29/10000</f>
        <v>1.4999999999999999E-2</v>
      </c>
      <c r="AA29" s="5">
        <f>[1]original!N29/10000</f>
        <v>0.41752767527675194</v>
      </c>
      <c r="AB29" s="5">
        <f>[1]original!O29/10000</f>
        <v>1.4999999999999999E-2</v>
      </c>
      <c r="AC29" s="5">
        <f>[1]original!P29/10000</f>
        <v>0.19258488594476</v>
      </c>
      <c r="AD29" s="5">
        <f>[1]original!R29/10000</f>
        <v>0.170974155069582</v>
      </c>
      <c r="AE29" s="5">
        <f>[1]original!U29/10000</f>
        <v>1.8184501845018399</v>
      </c>
      <c r="AF29" s="5">
        <f>[1]original!V29/10000</f>
        <v>0.41365313653136498</v>
      </c>
      <c r="AG29" s="5">
        <f>[1]original!W29/10000</f>
        <v>0.35042573320719</v>
      </c>
      <c r="AH29" s="5">
        <f>[1]original!X29/10000</f>
        <v>6.1992619926199199E-2</v>
      </c>
      <c r="AI29" s="5">
        <f>[1]original!Z29/10000</f>
        <v>20.598523985239801</v>
      </c>
      <c r="AJ29" s="5">
        <f>[1]original!AA29/10000</f>
        <v>0</v>
      </c>
    </row>
    <row r="30" spans="1:36" x14ac:dyDescent="0.3">
      <c r="A30" s="1">
        <v>64</v>
      </c>
      <c r="B30" s="3">
        <v>-672.70588500006102</v>
      </c>
      <c r="C30" s="3">
        <v>465.83951000310401</v>
      </c>
      <c r="D30" s="3">
        <v>272.59281231</v>
      </c>
      <c r="E30" s="4">
        <v>20.598959525934564</v>
      </c>
      <c r="F30" s="3">
        <f t="shared" si="0"/>
        <v>27.836357427571823</v>
      </c>
      <c r="G30" s="3">
        <f t="shared" si="1"/>
        <v>33.730369533441632</v>
      </c>
      <c r="H30" s="3">
        <v>2306.07896913578</v>
      </c>
      <c r="I30" s="3">
        <v>83.045854583016705</v>
      </c>
      <c r="J30" s="4">
        <v>0.92194574161363696</v>
      </c>
      <c r="K30" s="1">
        <v>106</v>
      </c>
      <c r="L30" s="3">
        <f t="shared" si="2"/>
        <v>20.154251155609654</v>
      </c>
      <c r="M30" s="3">
        <f t="shared" si="3"/>
        <v>29.072130050852781</v>
      </c>
      <c r="N30" s="3">
        <f t="shared" si="4"/>
        <v>27.418251459113755</v>
      </c>
      <c r="O30" s="4">
        <f t="shared" si="7"/>
        <v>0.69241306895490873</v>
      </c>
      <c r="P30" s="4">
        <f t="shared" si="5"/>
        <v>0.95738545335553127</v>
      </c>
      <c r="Q30" s="3">
        <f t="shared" si="8"/>
        <v>3.763399474986918</v>
      </c>
      <c r="R30" s="3">
        <f t="shared" si="6"/>
        <v>21.423277104917652</v>
      </c>
      <c r="S30" s="3">
        <f t="shared" si="9"/>
        <v>25.186676579904571</v>
      </c>
      <c r="T30" s="5">
        <f>[1]original!L30/10000</f>
        <v>5.5299111549851903</v>
      </c>
      <c r="U30" s="5">
        <f>[1]original!Q30/10000</f>
        <v>0.76906024096385395</v>
      </c>
      <c r="V30" s="5">
        <f>[1]original!Y30/10000</f>
        <v>0.24399999999999999</v>
      </c>
      <c r="W30" s="5">
        <f>[1]original!AB30/10000</f>
        <v>4.0913861386138601E-4</v>
      </c>
      <c r="X30" s="5">
        <f>[1]original!T30/10000</f>
        <v>1.1544754571703499</v>
      </c>
      <c r="Y30" s="5">
        <f>[1]original!S30/10000</f>
        <v>18.891806515300999</v>
      </c>
      <c r="Z30" s="5">
        <f>[1]original!M30/10000</f>
        <v>9.2200000000000004E-2</v>
      </c>
      <c r="AA30" s="5">
        <f>[1]original!N30/10000</f>
        <v>1.5091806515300898</v>
      </c>
      <c r="AB30" s="5">
        <f>[1]original!O30/10000</f>
        <v>5.6209972078181104E-2</v>
      </c>
      <c r="AC30" s="5">
        <f>[1]original!P30/10000</f>
        <v>0.46432197363058902</v>
      </c>
      <c r="AD30" s="5">
        <f>[1]original!R30/10000</f>
        <v>0.147501213003396</v>
      </c>
      <c r="AE30" s="5">
        <f>[1]original!U30/10000</f>
        <v>2.36386969397828</v>
      </c>
      <c r="AF30" s="5">
        <f>[1]original!V30/10000</f>
        <v>0.26416584402764004</v>
      </c>
      <c r="AG30" s="5">
        <f>[1]original!W30/10000</f>
        <v>1.7078922040423401</v>
      </c>
      <c r="AH30" s="5">
        <f>[1]original!X30/10000</f>
        <v>4.89634748272458E-2</v>
      </c>
      <c r="AI30" s="5">
        <f>[1]original!Z30/10000</f>
        <v>21.916090819348401</v>
      </c>
      <c r="AJ30" s="5">
        <f>[1]original!AA30/10000</f>
        <v>0</v>
      </c>
    </row>
    <row r="31" spans="1:36" x14ac:dyDescent="0.3">
      <c r="A31" s="1">
        <v>64</v>
      </c>
      <c r="B31" s="3">
        <v>-680.62857500009704</v>
      </c>
      <c r="C31" s="3">
        <v>448.05741000361701</v>
      </c>
      <c r="D31" s="3">
        <v>228.390197669</v>
      </c>
      <c r="E31" s="4">
        <v>17.815123344539959</v>
      </c>
      <c r="F31" s="3">
        <f t="shared" si="0"/>
        <v>32.186136964116926</v>
      </c>
      <c r="G31" s="3">
        <f t="shared" si="1"/>
        <v>37.884909984714298</v>
      </c>
      <c r="H31" s="3">
        <v>1805.00392018609</v>
      </c>
      <c r="I31" s="3">
        <v>82.262942911669896</v>
      </c>
      <c r="J31" s="4">
        <v>1.0343783367311601</v>
      </c>
      <c r="K31" s="1">
        <v>106</v>
      </c>
      <c r="L31" s="3">
        <f t="shared" si="2"/>
        <v>18.803233903166891</v>
      </c>
      <c r="M31" s="3">
        <f t="shared" si="3"/>
        <v>27.049038823361393</v>
      </c>
      <c r="N31" s="3">
        <f t="shared" si="4"/>
        <v>25.452324272404823</v>
      </c>
      <c r="O31" s="4">
        <f t="shared" si="7"/>
        <v>0.69241306895490873</v>
      </c>
      <c r="P31" s="4">
        <f t="shared" si="5"/>
        <v>0.92594212153943989</v>
      </c>
      <c r="Q31" s="3">
        <f t="shared" si="8"/>
        <v>4.2085625571816401</v>
      </c>
      <c r="R31" s="3">
        <f t="shared" si="6"/>
        <v>21.681594865173302</v>
      </c>
      <c r="S31" s="3">
        <f t="shared" si="9"/>
        <v>25.890157422354942</v>
      </c>
      <c r="T31" s="5">
        <f>[1]original!L31/10000</f>
        <v>5.7494634146341399</v>
      </c>
      <c r="U31" s="5">
        <f>[1]original!Q31/10000</f>
        <v>0.41356903965599606</v>
      </c>
      <c r="V31" s="5">
        <f>[1]original!Y31/10000</f>
        <v>0.152</v>
      </c>
      <c r="W31" s="5">
        <f>[1]original!AB31/10000</f>
        <v>7.9329756097560895E-4</v>
      </c>
      <c r="X31" s="5">
        <f>[1]original!T31/10000</f>
        <v>0.91008814887365297</v>
      </c>
      <c r="Y31" s="5">
        <f>[1]original!S31/10000</f>
        <v>24.062243902439</v>
      </c>
      <c r="Z31" s="5">
        <f>[1]original!M31/10000</f>
        <v>3.0599999999999999E-2</v>
      </c>
      <c r="AA31" s="5">
        <f>[1]original!N31/10000</f>
        <v>0.42399999999999999</v>
      </c>
      <c r="AB31" s="5">
        <f>[1]original!O31/10000</f>
        <v>1.4999999999999999E-2</v>
      </c>
      <c r="AC31" s="5">
        <f>[1]original!P31/10000</f>
        <v>0.18367590447514001</v>
      </c>
      <c r="AD31" s="5">
        <f>[1]original!R31/10000</f>
        <v>0.19662363455809301</v>
      </c>
      <c r="AE31" s="5">
        <f>[1]original!U31/10000</f>
        <v>1.8187317073170699</v>
      </c>
      <c r="AF31" s="5">
        <f>[1]original!V31/10000</f>
        <v>0.36663414634146302</v>
      </c>
      <c r="AG31" s="5">
        <f>[1]original!W31/10000</f>
        <v>0.34593535749265403</v>
      </c>
      <c r="AH31" s="5">
        <f>[1]original!X31/10000</f>
        <v>2.3E-2</v>
      </c>
      <c r="AI31" s="5">
        <f>[1]original!Z31/10000</f>
        <v>21.4368780487804</v>
      </c>
      <c r="AJ31" s="5">
        <f>[1]original!AA31/10000</f>
        <v>0</v>
      </c>
    </row>
    <row r="32" spans="1:36" x14ac:dyDescent="0.3">
      <c r="A32" s="1">
        <v>1</v>
      </c>
      <c r="B32" s="3">
        <v>556.43303699989303</v>
      </c>
      <c r="C32" s="3">
        <v>-521.999129997566</v>
      </c>
      <c r="D32" s="3">
        <v>234.28351694599999</v>
      </c>
      <c r="E32" s="4">
        <v>39.122356831697587</v>
      </c>
      <c r="F32" s="3">
        <f t="shared" si="0"/>
        <v>14.656581209223615</v>
      </c>
      <c r="G32" s="3">
        <f t="shared" si="1"/>
        <v>20.190976281321895</v>
      </c>
      <c r="H32" s="3">
        <v>2501.0242984779002</v>
      </c>
      <c r="I32" s="3">
        <v>83.6371761911102</v>
      </c>
      <c r="J32" s="4">
        <v>1.125318686205</v>
      </c>
      <c r="K32" s="1">
        <v>106</v>
      </c>
      <c r="L32" s="3">
        <f t="shared" si="2"/>
        <v>17.030913061614214</v>
      </c>
      <c r="M32" s="3">
        <f t="shared" si="3"/>
        <v>23.54802112106956</v>
      </c>
      <c r="N32" s="3">
        <f t="shared" si="4"/>
        <v>22.246252167669759</v>
      </c>
      <c r="O32" s="4">
        <f t="shared" si="7"/>
        <v>0.69241306895490873</v>
      </c>
      <c r="P32" s="4">
        <f t="shared" si="5"/>
        <v>1.1095839379243848</v>
      </c>
      <c r="Q32" s="3">
        <f t="shared" si="8"/>
        <v>2.2965395615762856</v>
      </c>
      <c r="R32" s="3">
        <f t="shared" si="6"/>
        <v>15.422938254875262</v>
      </c>
      <c r="S32" s="3">
        <f t="shared" si="9"/>
        <v>17.719477816451548</v>
      </c>
      <c r="T32" s="5">
        <f>[1]original!L32/10000</f>
        <v>1.2479667590027701</v>
      </c>
      <c r="U32" s="5">
        <f>[1]original!Q32/10000</f>
        <v>2.4539056603773499</v>
      </c>
      <c r="V32" s="5">
        <f>[1]original!Y32/10000</f>
        <v>1.24</v>
      </c>
      <c r="W32" s="5">
        <f>[1]original!AB32/10000</f>
        <v>2.8192125825332202E-3</v>
      </c>
      <c r="X32" s="5">
        <f>[1]original!T32/10000</f>
        <v>0.329330708661417</v>
      </c>
      <c r="Y32" s="5">
        <f>[1]original!S32/10000</f>
        <v>50.720036934441296</v>
      </c>
      <c r="Z32" s="5">
        <f>[1]original!M32/10000</f>
        <v>8.6900000000000005E-2</v>
      </c>
      <c r="AA32" s="5">
        <f>[1]original!N32/10000</f>
        <v>1.6012003693444099</v>
      </c>
      <c r="AB32" s="5">
        <f>[1]original!O32/10000</f>
        <v>2.3085285614594699E-2</v>
      </c>
      <c r="AC32" s="5">
        <f>[1]original!P32/10000</f>
        <v>0.16812071035696</v>
      </c>
      <c r="AD32" s="5">
        <f>[1]original!R32/10000</f>
        <v>5.7114721811915299E-2</v>
      </c>
      <c r="AE32" s="5">
        <f>[1]original!U32/10000</f>
        <v>0.30527608494921499</v>
      </c>
      <c r="AF32" s="5">
        <f>[1]original!V32/10000</f>
        <v>0.124264265927977</v>
      </c>
      <c r="AG32" s="5">
        <f>[1]original!W32/10000</f>
        <v>0.37903543307086601</v>
      </c>
      <c r="AH32" s="5">
        <f>[1]original!X32/10000</f>
        <v>8.9775253924284398E-2</v>
      </c>
      <c r="AI32" s="5">
        <f>[1]original!Z32/10000</f>
        <v>7.9297137580794006</v>
      </c>
      <c r="AJ32" s="5">
        <f>[1]original!AA32/10000</f>
        <v>2.9999999999999997E-4</v>
      </c>
    </row>
    <row r="33" spans="1:36" x14ac:dyDescent="0.3">
      <c r="A33" s="1">
        <v>5</v>
      </c>
      <c r="B33" s="3">
        <v>204.138464999967</v>
      </c>
      <c r="C33" s="3">
        <v>-510.994599997997</v>
      </c>
      <c r="D33" s="3">
        <v>287.921740785</v>
      </c>
      <c r="E33" s="4">
        <v>17.356277252213271</v>
      </c>
      <c r="F33" s="3">
        <f t="shared" si="0"/>
        <v>33.037038511635906</v>
      </c>
      <c r="G33" s="3">
        <f t="shared" si="1"/>
        <v>38.684061347267324</v>
      </c>
      <c r="H33" s="3">
        <v>2625.40950269526</v>
      </c>
      <c r="I33" s="3">
        <v>77.436391783464401</v>
      </c>
      <c r="J33" s="4">
        <v>0.76757900401367296</v>
      </c>
      <c r="K33" s="1">
        <v>106</v>
      </c>
      <c r="L33" s="3">
        <f t="shared" si="2"/>
        <v>22.124894006245736</v>
      </c>
      <c r="M33" s="3">
        <f t="shared" si="3"/>
        <v>33.049681428057774</v>
      </c>
      <c r="N33" s="3">
        <f t="shared" si="4"/>
        <v>30.65072107284794</v>
      </c>
      <c r="O33" s="4">
        <f t="shared" si="7"/>
        <v>0.69241306895490873</v>
      </c>
      <c r="P33" s="4">
        <f t="shared" si="5"/>
        <v>0.92040172142182608</v>
      </c>
      <c r="Q33" s="3">
        <f t="shared" si="8"/>
        <v>4.2939761018821221</v>
      </c>
      <c r="R33" s="3">
        <f t="shared" si="6"/>
        <v>24.215699664959498</v>
      </c>
      <c r="S33" s="3">
        <f t="shared" si="9"/>
        <v>28.509675766841621</v>
      </c>
      <c r="T33" s="5">
        <f>[1]original!L33/10000</f>
        <v>5.6807727690892298</v>
      </c>
      <c r="U33" s="5">
        <f>[1]original!Q33/10000</f>
        <v>0.42476340996168499</v>
      </c>
      <c r="V33" s="5">
        <f>[1]original!Y33/10000</f>
        <v>0.193</v>
      </c>
      <c r="W33" s="5">
        <f>[1]original!AB33/10000</f>
        <v>1.2212212212212201E-3</v>
      </c>
      <c r="X33" s="5">
        <f>[1]original!T33/10000</f>
        <v>1.37835820895522</v>
      </c>
      <c r="Y33" s="5">
        <f>[1]original!S33/10000</f>
        <v>24.647286108555601</v>
      </c>
      <c r="Z33" s="5">
        <f>[1]original!M33/10000</f>
        <v>5.67E-2</v>
      </c>
      <c r="AA33" s="5">
        <f>[1]original!N33/10000</f>
        <v>0.35332658693652202</v>
      </c>
      <c r="AB33" s="5">
        <f>[1]original!O33/10000</f>
        <v>3.6846703132769699E-2</v>
      </c>
      <c r="AC33" s="5">
        <f>[1]original!P33/10000</f>
        <v>0.20677946239052097</v>
      </c>
      <c r="AD33" s="5">
        <f>[1]original!R33/10000</f>
        <v>0.12672562593261</v>
      </c>
      <c r="AE33" s="5">
        <f>[1]original!U33/10000</f>
        <v>0.85094204231830695</v>
      </c>
      <c r="AF33" s="5">
        <f>[1]original!V33/10000</f>
        <v>0.443884084636614</v>
      </c>
      <c r="AG33" s="5">
        <f>[1]original!W33/10000</f>
        <v>0.13264925373134298</v>
      </c>
      <c r="AH33" s="5">
        <f>[1]original!X33/10000</f>
        <v>4.6229254829806804E-2</v>
      </c>
      <c r="AI33" s="5">
        <f>[1]original!Z33/10000</f>
        <v>20.8905243790248</v>
      </c>
      <c r="AJ33" s="5">
        <f>[1]original!AA33/10000</f>
        <v>2.9999999999999997E-4</v>
      </c>
    </row>
    <row r="34" spans="1:36" x14ac:dyDescent="0.3">
      <c r="A34" s="1">
        <v>6</v>
      </c>
      <c r="B34" s="3">
        <v>497.19116499996699</v>
      </c>
      <c r="C34" s="3">
        <v>-521.52417999692204</v>
      </c>
      <c r="D34" s="3">
        <v>289.60652773800001</v>
      </c>
      <c r="E34" s="4">
        <v>17.71140195296929</v>
      </c>
      <c r="F34" s="3">
        <f t="shared" si="0"/>
        <v>32.374625200342784</v>
      </c>
      <c r="G34" s="3">
        <f t="shared" si="1"/>
        <v>38.062295367979289</v>
      </c>
      <c r="H34" s="3">
        <v>2575.8649019742802</v>
      </c>
      <c r="I34" s="3">
        <v>80.353912927560899</v>
      </c>
      <c r="J34" s="4">
        <v>0.80541166671068698</v>
      </c>
      <c r="K34" s="1">
        <v>106</v>
      </c>
      <c r="L34" s="3">
        <f t="shared" si="2"/>
        <v>21.794388596825296</v>
      </c>
      <c r="M34" s="3">
        <f t="shared" si="3"/>
        <v>32.135182557377377</v>
      </c>
      <c r="N34" s="3">
        <f t="shared" si="4"/>
        <v>30.068312208044631</v>
      </c>
      <c r="O34" s="4">
        <f t="shared" si="7"/>
        <v>0.69241306895490873</v>
      </c>
      <c r="P34" s="4">
        <f t="shared" si="5"/>
        <v>0.92469941978054893</v>
      </c>
      <c r="Q34" s="3">
        <f t="shared" si="8"/>
        <v>4.2275273467732832</v>
      </c>
      <c r="R34" s="3">
        <f t="shared" si="6"/>
        <v>23.786492549760084</v>
      </c>
      <c r="S34" s="3">
        <f t="shared" si="9"/>
        <v>28.014019896533366</v>
      </c>
      <c r="T34" s="5">
        <f>[1]original!L34/10000</f>
        <v>7.0061389961389899</v>
      </c>
      <c r="U34" s="5">
        <f>[1]original!Q34/10000</f>
        <v>0.26930899435778199</v>
      </c>
      <c r="V34" s="5">
        <f>[1]original!Y34/10000</f>
        <v>0.14299999999999899</v>
      </c>
      <c r="W34" s="5">
        <f>[1]original!AB34/10000</f>
        <v>5.8939096267190494E-4</v>
      </c>
      <c r="X34" s="5">
        <f>[1]original!T34/10000</f>
        <v>1.58483146067415</v>
      </c>
      <c r="Y34" s="5">
        <f>[1]original!S34/10000</f>
        <v>23.150193050193</v>
      </c>
      <c r="Z34" s="5">
        <f>[1]original!M34/10000</f>
        <v>4.7800000000000002E-2</v>
      </c>
      <c r="AA34" s="5">
        <f>[1]original!N34/10000</f>
        <v>0.68434749034748998</v>
      </c>
      <c r="AB34" s="5">
        <f>[1]original!O34/10000</f>
        <v>3.4784150717703299E-2</v>
      </c>
      <c r="AC34" s="5">
        <f>[1]original!P34/10000</f>
        <v>0.33970006759114196</v>
      </c>
      <c r="AD34" s="5">
        <f>[1]original!R34/10000</f>
        <v>0.25882352941176401</v>
      </c>
      <c r="AE34" s="5">
        <f>[1]original!U34/10000</f>
        <v>2.2984942084941999</v>
      </c>
      <c r="AF34" s="5">
        <f>[1]original!V34/10000</f>
        <v>0.43176447876447799</v>
      </c>
      <c r="AG34" s="5">
        <f>[1]original!W34/10000</f>
        <v>0.43127340823970001</v>
      </c>
      <c r="AH34" s="5">
        <f>[1]original!X34/10000</f>
        <v>7.1938803088803002E-2</v>
      </c>
      <c r="AI34" s="5">
        <f>[1]original!Z34/10000</f>
        <v>19.465637065637001</v>
      </c>
      <c r="AJ34" s="5">
        <f>[1]original!AA34/10000</f>
        <v>2.9999999999999997E-4</v>
      </c>
    </row>
    <row r="35" spans="1:36" x14ac:dyDescent="0.3">
      <c r="A35" s="1">
        <v>6</v>
      </c>
      <c r="B35" s="3">
        <v>503.28897599992303</v>
      </c>
      <c r="C35" s="3">
        <v>-505.638839997351</v>
      </c>
      <c r="D35" s="3">
        <v>242.85681985400001</v>
      </c>
      <c r="E35" s="4">
        <v>28.277426180978885</v>
      </c>
      <c r="F35" s="3">
        <f t="shared" si="0"/>
        <v>20.277658805655506</v>
      </c>
      <c r="G35" s="3">
        <f t="shared" si="1"/>
        <v>26.178540167989752</v>
      </c>
      <c r="H35" s="3">
        <v>2497.5517053061099</v>
      </c>
      <c r="I35" s="3">
        <v>84.630341159172104</v>
      </c>
      <c r="J35" s="4">
        <v>1.1802074840171</v>
      </c>
      <c r="K35" s="1">
        <v>106</v>
      </c>
      <c r="L35" s="3">
        <f t="shared" si="2"/>
        <v>16.500046113775134</v>
      </c>
      <c r="M35" s="3">
        <f t="shared" si="3"/>
        <v>22.58130276117387</v>
      </c>
      <c r="N35" s="3">
        <f t="shared" si="4"/>
        <v>21.393500321367668</v>
      </c>
      <c r="O35" s="4">
        <f t="shared" si="7"/>
        <v>0.69241306895490873</v>
      </c>
      <c r="P35" s="4">
        <f t="shared" si="5"/>
        <v>1.029754221110935</v>
      </c>
      <c r="Q35" s="3">
        <f t="shared" si="8"/>
        <v>2.9487128565576501</v>
      </c>
      <c r="R35" s="3">
        <f t="shared" si="6"/>
        <v>16.677589934789637</v>
      </c>
      <c r="S35" s="3">
        <f t="shared" si="9"/>
        <v>19.626302791347285</v>
      </c>
      <c r="T35" s="5">
        <f>[1]original!L35/10000</f>
        <v>3.7859051306873099</v>
      </c>
      <c r="U35" s="5">
        <f>[1]original!Q35/10000</f>
        <v>1.9492015968063798</v>
      </c>
      <c r="V35" s="5">
        <f>[1]original!Y35/10000</f>
        <v>1.86</v>
      </c>
      <c r="W35" s="5">
        <f>[1]original!AB35/10000</f>
        <v>7.4624060150375897E-3</v>
      </c>
      <c r="X35" s="5">
        <f>[1]original!T35/10000</f>
        <v>0.65278048780487796</v>
      </c>
      <c r="Y35" s="5">
        <f>[1]original!S35/10000</f>
        <v>32.3519845111325</v>
      </c>
      <c r="Z35" s="5">
        <f>[1]original!M35/10000</f>
        <v>8.3599999999999897E-2</v>
      </c>
      <c r="AA35" s="5">
        <f>[1]original!N35/10000</f>
        <v>2.8147531461761699</v>
      </c>
      <c r="AB35" s="5">
        <f>[1]original!O35/10000</f>
        <v>1.0976011102299699E-2</v>
      </c>
      <c r="AC35" s="5">
        <f>[1]original!P35/10000</f>
        <v>0.24641149619331901</v>
      </c>
      <c r="AD35" s="5">
        <f>[1]original!R35/10000</f>
        <v>6.4260998517053802E-2</v>
      </c>
      <c r="AE35" s="5">
        <f>[1]original!U35/10000</f>
        <v>0.81921393998063796</v>
      </c>
      <c r="AF35" s="5">
        <f>[1]original!V35/10000</f>
        <v>9.0986060019361006E-2</v>
      </c>
      <c r="AG35" s="5">
        <f>[1]original!W35/10000</f>
        <v>1.5076097560975601</v>
      </c>
      <c r="AH35" s="5">
        <f>[1]original!X35/10000</f>
        <v>0.12630338818973802</v>
      </c>
      <c r="AI35" s="5">
        <f>[1]original!Z35/10000</f>
        <v>15.3235430784123</v>
      </c>
      <c r="AJ35" s="5">
        <f>[1]original!AA35/10000</f>
        <v>2.9999999999999997E-4</v>
      </c>
    </row>
    <row r="36" spans="1:36" x14ac:dyDescent="0.3">
      <c r="A36" s="1">
        <v>13</v>
      </c>
      <c r="B36" s="3">
        <v>355.02079699991702</v>
      </c>
      <c r="C36" s="3">
        <v>-472.824659997597</v>
      </c>
      <c r="D36" s="3">
        <v>188.49538657599999</v>
      </c>
      <c r="E36" s="4">
        <v>20.295005403174439</v>
      </c>
      <c r="F36" s="3">
        <f t="shared" si="0"/>
        <v>28.253256828909823</v>
      </c>
      <c r="G36" s="3">
        <f t="shared" si="1"/>
        <v>34.133906107265851</v>
      </c>
      <c r="H36" s="3">
        <v>2437.9600309602802</v>
      </c>
      <c r="I36" s="3">
        <v>81.988889062076694</v>
      </c>
      <c r="J36" s="4">
        <v>0.70553294055362703</v>
      </c>
      <c r="K36" s="1">
        <v>106</v>
      </c>
      <c r="L36" s="3">
        <f t="shared" si="2"/>
        <v>24.742967617966123</v>
      </c>
      <c r="M36" s="3">
        <f t="shared" si="3"/>
        <v>37.385163278148809</v>
      </c>
      <c r="N36" s="3">
        <f t="shared" si="4"/>
        <v>35.150141246974961</v>
      </c>
      <c r="O36" s="4">
        <f t="shared" si="7"/>
        <v>0.69241306895490873</v>
      </c>
      <c r="P36" s="4">
        <f t="shared" si="5"/>
        <v>0.95411762504641906</v>
      </c>
      <c r="Q36" s="3">
        <f t="shared" si="8"/>
        <v>3.806725199242734</v>
      </c>
      <c r="R36" s="3">
        <f t="shared" si="6"/>
        <v>24.978080549200563</v>
      </c>
      <c r="S36" s="3">
        <f t="shared" si="9"/>
        <v>28.784805748443297</v>
      </c>
      <c r="T36" s="5">
        <f>[1]original!L36/10000</f>
        <v>6.1565259117082505</v>
      </c>
      <c r="U36" s="5">
        <f>[1]original!Q36/10000</f>
        <v>0.29050682600963201</v>
      </c>
      <c r="V36" s="5">
        <f>[1]original!Y36/10000</f>
        <v>0.153</v>
      </c>
      <c r="W36" s="5">
        <f>[1]original!AB36/10000</f>
        <v>5.2427184466019301E-4</v>
      </c>
      <c r="X36" s="5">
        <f>[1]original!T36/10000</f>
        <v>1.4187124301435401</v>
      </c>
      <c r="Y36" s="5">
        <f>[1]original!S36/10000</f>
        <v>25.182341650671702</v>
      </c>
      <c r="Z36" s="5">
        <f>[1]original!M36/10000</f>
        <v>4.1500000000000002E-2</v>
      </c>
      <c r="AA36" s="5">
        <f>[1]original!N36/10000</f>
        <v>0.59162955854126609</v>
      </c>
      <c r="AB36" s="5">
        <f>[1]original!O36/10000</f>
        <v>3.8854239521473898E-2</v>
      </c>
      <c r="AC36" s="5">
        <f>[1]original!P36/10000</f>
        <v>0.29367940954301597</v>
      </c>
      <c r="AD36" s="5">
        <f>[1]original!R36/10000</f>
        <v>0.19521717911176098</v>
      </c>
      <c r="AE36" s="5">
        <f>[1]original!U36/10000</f>
        <v>0.65118618042226395</v>
      </c>
      <c r="AF36" s="5">
        <f>[1]original!V36/10000</f>
        <v>0.79131094049904005</v>
      </c>
      <c r="AG36" s="5">
        <f>[1]original!W36/10000</f>
        <v>0.101886222037851</v>
      </c>
      <c r="AH36" s="5">
        <f>[1]original!X36/10000</f>
        <v>2.3E-2</v>
      </c>
      <c r="AI36" s="5">
        <f>[1]original!Z36/10000</f>
        <v>20.307485604606498</v>
      </c>
      <c r="AJ36" s="5">
        <f>[1]original!AA36/10000</f>
        <v>2.9999999999999997E-4</v>
      </c>
    </row>
    <row r="37" spans="1:36" x14ac:dyDescent="0.3">
      <c r="A37" s="1">
        <v>14</v>
      </c>
      <c r="B37" s="3">
        <v>514.97566799994001</v>
      </c>
      <c r="C37" s="3">
        <v>-338.78853999636999</v>
      </c>
      <c r="D37" s="3">
        <v>193.34153345799999</v>
      </c>
      <c r="E37" s="4">
        <v>23.613922709756643</v>
      </c>
      <c r="F37" s="3">
        <f t="shared" si="0"/>
        <v>24.282284948916445</v>
      </c>
      <c r="G37" s="3">
        <f t="shared" si="1"/>
        <v>30.238679129344817</v>
      </c>
      <c r="H37" s="3">
        <v>2605.0771506101401</v>
      </c>
      <c r="I37" s="3">
        <v>78.093335101423705</v>
      </c>
      <c r="J37" s="4">
        <v>0.88554679121276203</v>
      </c>
      <c r="K37" s="1">
        <v>106</v>
      </c>
      <c r="L37" s="3">
        <f t="shared" si="2"/>
        <v>19.794162922533058</v>
      </c>
      <c r="M37" s="3">
        <f t="shared" si="3"/>
        <v>28.794633871464246</v>
      </c>
      <c r="N37" s="3">
        <f t="shared" si="4"/>
        <v>26.758730526978912</v>
      </c>
      <c r="O37" s="4">
        <f t="shared" si="7"/>
        <v>0.69241306895490873</v>
      </c>
      <c r="P37" s="4">
        <f t="shared" si="5"/>
        <v>0.98794116257653852</v>
      </c>
      <c r="Q37" s="3">
        <f t="shared" si="8"/>
        <v>3.3876748742595755</v>
      </c>
      <c r="R37" s="3">
        <f t="shared" si="6"/>
        <v>20.176246994573724</v>
      </c>
      <c r="S37" s="3">
        <f t="shared" si="9"/>
        <v>23.563921868833297</v>
      </c>
      <c r="T37" s="5">
        <f>[1]original!L37/10000</f>
        <v>2.7451844843897701</v>
      </c>
      <c r="U37" s="5">
        <f>[1]original!Q37/10000</f>
        <v>1.7089365853658498</v>
      </c>
      <c r="V37" s="5">
        <f>[1]original!Y37/10000</f>
        <v>0.78500000000000003</v>
      </c>
      <c r="W37" s="5">
        <f>[1]original!AB37/10000</f>
        <v>4.2557251908396897E-3</v>
      </c>
      <c r="X37" s="5">
        <f>[1]original!T37/10000</f>
        <v>0.56027649769585197</v>
      </c>
      <c r="Y37" s="5">
        <f>[1]original!S37/10000</f>
        <v>42.231977294228805</v>
      </c>
      <c r="Z37" s="5">
        <f>[1]original!M37/10000</f>
        <v>7.3999999999999996E-2</v>
      </c>
      <c r="AA37" s="5">
        <f>[1]original!N37/10000</f>
        <v>0.75126017029328207</v>
      </c>
      <c r="AB37" s="5">
        <f>[1]original!O37/10000</f>
        <v>6.3164992511233101E-2</v>
      </c>
      <c r="AC37" s="5">
        <f>[1]original!P37/10000</f>
        <v>0.192694673490724</v>
      </c>
      <c r="AD37" s="5">
        <f>[1]original!R37/10000</f>
        <v>0.48030739673390899</v>
      </c>
      <c r="AE37" s="5">
        <f>[1]original!U37/10000</f>
        <v>1.13554020813623</v>
      </c>
      <c r="AF37" s="5">
        <f>[1]original!V37/10000</f>
        <v>0.91506906338694405</v>
      </c>
      <c r="AG37" s="5">
        <f>[1]original!W37/10000</f>
        <v>1.55E-2</v>
      </c>
      <c r="AH37" s="5">
        <f>[1]original!X37/10000</f>
        <v>0.10074115421002801</v>
      </c>
      <c r="AI37" s="5">
        <f>[1]original!Z37/10000</f>
        <v>12.148571428571399</v>
      </c>
      <c r="AJ37" s="5">
        <f>[1]original!AA37/10000</f>
        <v>2.9999999999999997E-4</v>
      </c>
    </row>
    <row r="38" spans="1:36" x14ac:dyDescent="0.3">
      <c r="A38" s="1">
        <v>14</v>
      </c>
      <c r="B38" s="3">
        <v>509.19163399992902</v>
      </c>
      <c r="C38" s="3">
        <v>-353.85645999759402</v>
      </c>
      <c r="D38" s="3">
        <v>148.99743868300001</v>
      </c>
      <c r="E38" s="4">
        <v>20.797562228072188</v>
      </c>
      <c r="F38" s="3">
        <f t="shared" si="0"/>
        <v>27.570538975285988</v>
      </c>
      <c r="G38" s="3">
        <f t="shared" si="1"/>
        <v>33.472440683411179</v>
      </c>
      <c r="H38" s="3">
        <v>2529.9027107015099</v>
      </c>
      <c r="I38" s="3">
        <v>78.752042962706895</v>
      </c>
      <c r="J38" s="4">
        <v>0.87948445192493496</v>
      </c>
      <c r="K38" s="1">
        <v>106</v>
      </c>
      <c r="L38" s="3">
        <f t="shared" si="2"/>
        <v>20.069679562523735</v>
      </c>
      <c r="M38" s="3">
        <f t="shared" si="3"/>
        <v>29.250435752161387</v>
      </c>
      <c r="N38" s="3">
        <f t="shared" si="4"/>
        <v>27.237156835802505</v>
      </c>
      <c r="O38" s="4">
        <f t="shared" si="7"/>
        <v>0.69241306895490873</v>
      </c>
      <c r="P38" s="4">
        <f t="shared" si="5"/>
        <v>0.95950063953123133</v>
      </c>
      <c r="Q38" s="3">
        <f t="shared" si="8"/>
        <v>3.7356967615478234</v>
      </c>
      <c r="R38" s="3">
        <f t="shared" si="6"/>
        <v>21.272184762300487</v>
      </c>
      <c r="S38" s="3">
        <f t="shared" si="9"/>
        <v>25.007881523848312</v>
      </c>
      <c r="T38" s="5">
        <f>[1]original!L38/10000</f>
        <v>4.1014498510427</v>
      </c>
      <c r="U38" s="5">
        <f>[1]original!Q38/10000</f>
        <v>1.0034535229904</v>
      </c>
      <c r="V38" s="5">
        <f>[1]original!Y38/10000</f>
        <v>0.34799999999999898</v>
      </c>
      <c r="W38" s="5">
        <f>[1]original!AB38/10000</f>
        <v>1.6890595009596801E-3</v>
      </c>
      <c r="X38" s="5">
        <f>[1]original!T38/10000</f>
        <v>0.78066666666666595</v>
      </c>
      <c r="Y38" s="5">
        <f>[1]original!S38/10000</f>
        <v>29.137040714994999</v>
      </c>
      <c r="Z38" s="5">
        <f>[1]original!M38/10000</f>
        <v>3.8600000000000002E-2</v>
      </c>
      <c r="AA38" s="5">
        <f>[1]original!N38/10000</f>
        <v>0.56964448857993999</v>
      </c>
      <c r="AB38" s="5">
        <f>[1]original!O38/10000</f>
        <v>3.8634333565945402E-2</v>
      </c>
      <c r="AC38" s="5">
        <f>[1]original!P38/10000</f>
        <v>0.30423111907233702</v>
      </c>
      <c r="AD38" s="5">
        <f>[1]original!R38/10000</f>
        <v>0.23952686052242403</v>
      </c>
      <c r="AE38" s="5">
        <f>[1]original!U38/10000</f>
        <v>1.7786653426017802</v>
      </c>
      <c r="AF38" s="5">
        <f>[1]original!V38/10000</f>
        <v>1.19735650446871</v>
      </c>
      <c r="AG38" s="5">
        <f>[1]original!W38/10000</f>
        <v>3.8190476190476101E-2</v>
      </c>
      <c r="AH38" s="5">
        <f>[1]original!X38/10000</f>
        <v>9.3241112214498503E-2</v>
      </c>
      <c r="AI38" s="5">
        <f>[1]original!Z38/10000</f>
        <v>18.5067328699106</v>
      </c>
      <c r="AJ38" s="5">
        <f>[1]original!AA38/10000</f>
        <v>2.9999999999999997E-4</v>
      </c>
    </row>
    <row r="39" spans="1:36" x14ac:dyDescent="0.3">
      <c r="A39" s="1">
        <v>132</v>
      </c>
      <c r="B39" s="3">
        <v>459.762249999912</v>
      </c>
      <c r="C39" s="3">
        <v>-333.004649996757</v>
      </c>
      <c r="D39" s="3">
        <v>140.89219290200001</v>
      </c>
      <c r="E39" s="4">
        <v>24.880930842474136</v>
      </c>
      <c r="F39" s="3">
        <f t="shared" si="0"/>
        <v>23.045761576618798</v>
      </c>
      <c r="G39" s="3">
        <f t="shared" si="1"/>
        <v>29.000402614184392</v>
      </c>
      <c r="H39" s="3">
        <v>2273.0965491350898</v>
      </c>
      <c r="I39" s="3">
        <v>85.500182590032196</v>
      </c>
      <c r="J39" s="4">
        <v>0.80745191119729698</v>
      </c>
      <c r="K39" s="1">
        <v>106</v>
      </c>
      <c r="L39" s="3">
        <f t="shared" si="2"/>
        <v>22.917009495034947</v>
      </c>
      <c r="M39" s="3">
        <f t="shared" si="3"/>
        <v>33.741941703595742</v>
      </c>
      <c r="N39" s="3">
        <f t="shared" si="4"/>
        <v>32.045625514504749</v>
      </c>
      <c r="O39" s="4">
        <f t="shared" si="7"/>
        <v>0.69241306895490873</v>
      </c>
      <c r="P39" s="4">
        <f t="shared" si="5"/>
        <v>0.99988886644006714</v>
      </c>
      <c r="Q39" s="3">
        <f t="shared" si="8"/>
        <v>3.2540475014288743</v>
      </c>
      <c r="R39" s="3">
        <f t="shared" si="6"/>
        <v>22.19357553721462</v>
      </c>
      <c r="S39" s="3">
        <f t="shared" si="9"/>
        <v>25.447623038643496</v>
      </c>
      <c r="T39" s="5">
        <f>[1]original!L39/10000</f>
        <v>6.0521047526673097</v>
      </c>
      <c r="U39" s="5">
        <f>[1]original!Q39/10000</f>
        <v>1.1397704590818301</v>
      </c>
      <c r="V39" s="5">
        <f>[1]original!Y39/10000</f>
        <v>0.35799999999999998</v>
      </c>
      <c r="W39" s="5">
        <f>[1]original!AB39/10000</f>
        <v>2.3091976516633997E-3</v>
      </c>
      <c r="X39" s="5">
        <f>[1]original!T39/10000</f>
        <v>2.1757518796992401</v>
      </c>
      <c r="Y39" s="5">
        <f>[1]original!S39/10000</f>
        <v>28.257613967022301</v>
      </c>
      <c r="Z39" s="5">
        <f>[1]original!M39/10000</f>
        <v>7.5800000000000006E-2</v>
      </c>
      <c r="AA39" s="5">
        <f>[1]original!N39/10000</f>
        <v>1.1405761396702201</v>
      </c>
      <c r="AB39" s="5">
        <f>[1]original!O39/10000</f>
        <v>6.6828605673192099E-2</v>
      </c>
      <c r="AC39" s="5">
        <f>[1]original!P39/10000</f>
        <v>0.47919485424948</v>
      </c>
      <c r="AD39" s="5">
        <f>[1]original!R39/10000</f>
        <v>0.52035749751737803</v>
      </c>
      <c r="AE39" s="5">
        <f>[1]original!U39/10000</f>
        <v>0.471245392822502</v>
      </c>
      <c r="AF39" s="5">
        <f>[1]original!V39/10000</f>
        <v>1.6474141610087201</v>
      </c>
      <c r="AG39" s="5">
        <f>[1]original!W39/10000</f>
        <v>1.55E-2</v>
      </c>
      <c r="AH39" s="5">
        <f>[1]original!X39/10000</f>
        <v>0.121094665373423</v>
      </c>
      <c r="AI39" s="5">
        <f>[1]original!Z39/10000</f>
        <v>16.6307662463627</v>
      </c>
      <c r="AJ39" s="5">
        <f>[1]original!AA39/10000</f>
        <v>2.9999999999999997E-4</v>
      </c>
    </row>
    <row r="40" spans="1:36" x14ac:dyDescent="0.3">
      <c r="A40" s="1">
        <v>11</v>
      </c>
      <c r="B40" s="3">
        <v>556.94106299988903</v>
      </c>
      <c r="C40" s="3">
        <v>-272.896189996972</v>
      </c>
      <c r="D40" s="3">
        <v>176.84929415100001</v>
      </c>
      <c r="E40" s="4">
        <v>22.862041498195179</v>
      </c>
      <c r="F40" s="3">
        <f t="shared" si="0"/>
        <v>25.080874778626679</v>
      </c>
      <c r="G40" s="3">
        <f t="shared" si="1"/>
        <v>31.031682244914872</v>
      </c>
      <c r="H40" s="3">
        <v>2338.9791406869699</v>
      </c>
      <c r="I40" s="3">
        <v>84.468796049817996</v>
      </c>
      <c r="J40" s="4">
        <v>0.988967056046407</v>
      </c>
      <c r="K40" s="1">
        <v>106</v>
      </c>
      <c r="L40" s="3">
        <f t="shared" si="2"/>
        <v>19.195916777734034</v>
      </c>
      <c r="M40" s="3">
        <f t="shared" si="3"/>
        <v>27.247116758976567</v>
      </c>
      <c r="N40" s="3">
        <f t="shared" si="4"/>
        <v>25.802052710613097</v>
      </c>
      <c r="O40" s="4">
        <f t="shared" si="7"/>
        <v>0.69241306895490873</v>
      </c>
      <c r="P40" s="4">
        <f t="shared" si="5"/>
        <v>0.98061574271820184</v>
      </c>
      <c r="Q40" s="3">
        <f t="shared" si="8"/>
        <v>3.4731427379838964</v>
      </c>
      <c r="R40" s="3">
        <f t="shared" si="6"/>
        <v>19.966520787259977</v>
      </c>
      <c r="S40" s="3">
        <f t="shared" si="9"/>
        <v>23.439663525243873</v>
      </c>
      <c r="T40" s="5">
        <f>[1]original!L40/10000</f>
        <v>6.7681954887218003</v>
      </c>
      <c r="U40" s="5">
        <f>[1]original!Q40/10000</f>
        <v>0.22617053749170499</v>
      </c>
      <c r="V40" s="5">
        <f>[1]original!Y40/10000</f>
        <v>7.7799999999999897E-2</v>
      </c>
      <c r="W40" s="5">
        <f>[1]original!AB40/10000</f>
        <v>1E-4</v>
      </c>
      <c r="X40" s="5">
        <f>[1]original!T40/10000</f>
        <v>2.0655000000000001</v>
      </c>
      <c r="Y40" s="5">
        <f>[1]original!S40/10000</f>
        <v>21.7763157894736</v>
      </c>
      <c r="Z40" s="5">
        <f>[1]original!M40/10000</f>
        <v>3.9899999999999998E-2</v>
      </c>
      <c r="AA40" s="5">
        <f>[1]original!N40/10000</f>
        <v>0.55844736842105203</v>
      </c>
      <c r="AB40" s="5">
        <f>[1]original!O40/10000</f>
        <v>2.7742328780779504E-2</v>
      </c>
      <c r="AC40" s="5">
        <f>[1]original!P40/10000</f>
        <v>0.26806880115329002</v>
      </c>
      <c r="AD40" s="5">
        <f>[1]original!R40/10000</f>
        <v>0.34859675036927601</v>
      </c>
      <c r="AE40" s="5">
        <f>[1]original!U40/10000</f>
        <v>1.1848947368421001</v>
      </c>
      <c r="AF40" s="5">
        <f>[1]original!V40/10000</f>
        <v>0.59302631578947307</v>
      </c>
      <c r="AG40" s="5">
        <f>[1]original!W40/10000</f>
        <v>3.88999999999999E-2</v>
      </c>
      <c r="AH40" s="5">
        <f>[1]original!X40/10000</f>
        <v>0.10608759398496199</v>
      </c>
      <c r="AI40" s="5">
        <f>[1]original!Z40/10000</f>
        <v>21.453759398496199</v>
      </c>
      <c r="AJ40" s="5">
        <f>[1]original!AA40/10000</f>
        <v>2.9999999999999997E-4</v>
      </c>
    </row>
    <row r="41" spans="1:36" x14ac:dyDescent="0.3">
      <c r="A41" s="1">
        <v>11</v>
      </c>
      <c r="B41" s="3">
        <v>554.15261699992698</v>
      </c>
      <c r="C41" s="3">
        <v>-280.160339996218</v>
      </c>
      <c r="D41" s="3">
        <v>155.47128702800001</v>
      </c>
      <c r="E41" s="4">
        <v>18.24803755664189</v>
      </c>
      <c r="F41" s="3">
        <f t="shared" si="0"/>
        <v>31.422556985657607</v>
      </c>
      <c r="G41" s="3">
        <f t="shared" si="1"/>
        <v>37.164166206657612</v>
      </c>
      <c r="H41" s="3">
        <v>2288.3431356308001</v>
      </c>
      <c r="I41" s="3">
        <v>81.6694274309246</v>
      </c>
      <c r="J41" s="4">
        <v>1.17265289338976</v>
      </c>
      <c r="K41" s="1">
        <v>106</v>
      </c>
      <c r="L41" s="3">
        <f t="shared" si="2"/>
        <v>16.391578637209026</v>
      </c>
      <c r="M41" s="3">
        <f t="shared" si="3"/>
        <v>22.710900383944431</v>
      </c>
      <c r="N41" s="3">
        <f t="shared" si="4"/>
        <v>21.33316180246084</v>
      </c>
      <c r="O41" s="4">
        <f t="shared" si="7"/>
        <v>0.69241306895490873</v>
      </c>
      <c r="P41" s="4">
        <f t="shared" si="5"/>
        <v>0.93106955796099378</v>
      </c>
      <c r="Q41" s="3">
        <f t="shared" si="8"/>
        <v>4.1314713074455724</v>
      </c>
      <c r="R41" s="3">
        <f t="shared" si="6"/>
        <v>19.649705385832338</v>
      </c>
      <c r="S41" s="3">
        <f t="shared" si="9"/>
        <v>23.78117669327791</v>
      </c>
      <c r="T41" s="5">
        <f>[1]original!L41/10000</f>
        <v>4.02736794592645</v>
      </c>
      <c r="U41" s="5">
        <f>[1]original!Q41/10000</f>
        <v>1.9242522756826999</v>
      </c>
      <c r="V41" s="5">
        <f>[1]original!Y41/10000</f>
        <v>0.60799999999999998</v>
      </c>
      <c r="W41" s="5">
        <f>[1]original!AB41/10000</f>
        <v>3.3808167141500399E-3</v>
      </c>
      <c r="X41" s="5">
        <f>[1]original!T41/10000</f>
        <v>0.88900091659028402</v>
      </c>
      <c r="Y41" s="5">
        <f>[1]original!S41/10000</f>
        <v>34.503642469646003</v>
      </c>
      <c r="Z41" s="5">
        <f>[1]original!M41/10000</f>
        <v>1.4999999999999999E-2</v>
      </c>
      <c r="AA41" s="5">
        <f>[1]original!N41/10000</f>
        <v>0.92428566886484698</v>
      </c>
      <c r="AB41" s="5">
        <f>[1]original!O41/10000</f>
        <v>2.1471296847114799E-2</v>
      </c>
      <c r="AC41" s="5">
        <f>[1]original!P41/10000</f>
        <v>0.30277918874824999</v>
      </c>
      <c r="AD41" s="5">
        <f>[1]original!R41/10000</f>
        <v>0.72513473787359095</v>
      </c>
      <c r="AE41" s="5">
        <f>[1]original!U41/10000</f>
        <v>0.89835985154946596</v>
      </c>
      <c r="AF41" s="5">
        <f>[1]original!V41/10000</f>
        <v>0.747899586764737</v>
      </c>
      <c r="AG41" s="5">
        <f>[1]original!W41/10000</f>
        <v>4.37213565536205E-2</v>
      </c>
      <c r="AH41" s="5">
        <f>[1]original!X41/10000</f>
        <v>0.10537324748789399</v>
      </c>
      <c r="AI41" s="5">
        <f>[1]original!Z41/10000</f>
        <v>15.5659931887625</v>
      </c>
      <c r="AJ41" s="5">
        <f>[1]original!AA41/10000</f>
        <v>2.9999999999999997E-4</v>
      </c>
    </row>
    <row r="42" spans="1:36" x14ac:dyDescent="0.3">
      <c r="A42" s="1">
        <v>11</v>
      </c>
      <c r="B42" s="3">
        <v>552.55921899992904</v>
      </c>
      <c r="C42" s="3">
        <v>-284.31127999722901</v>
      </c>
      <c r="D42" s="3">
        <v>143.25528295800001</v>
      </c>
      <c r="E42" s="4">
        <v>17.22368973440652</v>
      </c>
      <c r="F42" s="3">
        <f t="shared" si="0"/>
        <v>33.291356779062284</v>
      </c>
      <c r="G42" s="3">
        <f t="shared" si="1"/>
        <v>38.922109642329346</v>
      </c>
      <c r="H42" s="3">
        <v>2229.5814878841302</v>
      </c>
      <c r="I42" s="3">
        <v>79.036837112041397</v>
      </c>
      <c r="J42" s="4">
        <v>0.92131103644489698</v>
      </c>
      <c r="K42" s="1">
        <v>106</v>
      </c>
      <c r="L42" s="3">
        <f t="shared" si="2"/>
        <v>19.636806638081076</v>
      </c>
      <c r="M42" s="3">
        <f t="shared" si="3"/>
        <v>28.603349712408161</v>
      </c>
      <c r="N42" s="3">
        <f t="shared" si="4"/>
        <v>26.657694147396413</v>
      </c>
      <c r="O42" s="4">
        <f t="shared" si="7"/>
        <v>0.69241306895490873</v>
      </c>
      <c r="P42" s="4">
        <f t="shared" si="5"/>
        <v>0.91877978991595499</v>
      </c>
      <c r="Q42" s="3">
        <f t="shared" si="8"/>
        <v>4.3194059266364331</v>
      </c>
      <c r="R42" s="3">
        <f t="shared" si="6"/>
        <v>22.501748282167462</v>
      </c>
      <c r="S42" s="3">
        <f t="shared" si="9"/>
        <v>26.821154208803897</v>
      </c>
      <c r="T42" s="5">
        <f>[1]original!L42/10000</f>
        <v>6.6635564053537193</v>
      </c>
      <c r="U42" s="5">
        <f>[1]original!Q42/10000</f>
        <v>0.24336935166994098</v>
      </c>
      <c r="V42" s="5">
        <f>[1]original!Y42/10000</f>
        <v>0.10299999999999999</v>
      </c>
      <c r="W42" s="5">
        <f>[1]original!AB42/10000</f>
        <v>3.8572806171649E-4</v>
      </c>
      <c r="X42" s="5">
        <f>[1]original!T42/10000</f>
        <v>1.4453748782862701</v>
      </c>
      <c r="Y42" s="5">
        <f>[1]original!S42/10000</f>
        <v>21.872848948374699</v>
      </c>
      <c r="Z42" s="5">
        <f>[1]original!M42/10000</f>
        <v>7.3700000000000002E-2</v>
      </c>
      <c r="AA42" s="5">
        <f>[1]original!N42/10000</f>
        <v>0.39336902485659597</v>
      </c>
      <c r="AB42" s="5">
        <f>[1]original!O42/10000</f>
        <v>4.9522995717557999E-2</v>
      </c>
      <c r="AC42" s="5">
        <f>[1]original!P42/10000</f>
        <v>0.200825774744569</v>
      </c>
      <c r="AD42" s="5">
        <f>[1]original!R42/10000</f>
        <v>0.21078193297717299</v>
      </c>
      <c r="AE42" s="5">
        <f>[1]original!U42/10000</f>
        <v>1.99428298279158</v>
      </c>
      <c r="AF42" s="5">
        <f>[1]original!V42/10000</f>
        <v>0.44382217973231297</v>
      </c>
      <c r="AG42" s="5">
        <f>[1]original!W42/10000</f>
        <v>0.12697176241479999</v>
      </c>
      <c r="AH42" s="5">
        <f>[1]original!X42/10000</f>
        <v>9.5371128107074502E-2</v>
      </c>
      <c r="AI42" s="5">
        <f>[1]original!Z42/10000</f>
        <v>20.712045889101301</v>
      </c>
      <c r="AJ42" s="5">
        <f>[1]original!AA42/10000</f>
        <v>2.9999999999999997E-4</v>
      </c>
    </row>
    <row r="43" spans="1:36" x14ac:dyDescent="0.3">
      <c r="A43" s="1">
        <v>13</v>
      </c>
      <c r="B43" s="3">
        <v>347.95469099993301</v>
      </c>
      <c r="C43" s="3">
        <v>-491.23248999752099</v>
      </c>
      <c r="D43" s="3">
        <v>242.668666164</v>
      </c>
      <c r="E43" s="4">
        <v>20.60791010599004</v>
      </c>
      <c r="F43" s="3">
        <f t="shared" si="0"/>
        <v>27.824267334771204</v>
      </c>
      <c r="G43" s="3">
        <f t="shared" si="1"/>
        <v>33.718649005308244</v>
      </c>
      <c r="H43" s="3">
        <v>2375.65784971632</v>
      </c>
      <c r="I43" s="3">
        <v>85.744387707935601</v>
      </c>
      <c r="J43" s="4">
        <v>0.75347022395255803</v>
      </c>
      <c r="K43" s="1">
        <v>106</v>
      </c>
      <c r="L43" s="3">
        <f t="shared" si="2"/>
        <v>24.170706908064425</v>
      </c>
      <c r="M43" s="3">
        <f t="shared" si="3"/>
        <v>35.911787881748246</v>
      </c>
      <c r="N43" s="3">
        <f t="shared" si="4"/>
        <v>34.129740667893273</v>
      </c>
      <c r="O43" s="4">
        <f t="shared" si="7"/>
        <v>0.69241306895490873</v>
      </c>
      <c r="P43" s="4">
        <f t="shared" si="5"/>
        <v>0.95748111721927742</v>
      </c>
      <c r="Q43" s="3">
        <f t="shared" si="8"/>
        <v>3.7621408105239125</v>
      </c>
      <c r="R43" s="3">
        <f t="shared" si="6"/>
        <v>24.410118807737732</v>
      </c>
      <c r="S43" s="3">
        <f t="shared" si="9"/>
        <v>28.172259618261645</v>
      </c>
      <c r="T43" s="5">
        <f>[1]original!L43/10000</f>
        <v>5.7723873441994105</v>
      </c>
      <c r="U43" s="5">
        <f>[1]original!Q43/10000</f>
        <v>0.39392755751345998</v>
      </c>
      <c r="V43" s="5">
        <f>[1]original!Y43/10000</f>
        <v>0.19600000000000001</v>
      </c>
      <c r="W43" s="5">
        <f>[1]original!AB43/10000</f>
        <v>1.0556079170593699E-3</v>
      </c>
      <c r="X43" s="5">
        <f>[1]original!T43/10000</f>
        <v>2.24140845070422</v>
      </c>
      <c r="Y43" s="5">
        <f>[1]original!S43/10000</f>
        <v>25.945541706615501</v>
      </c>
      <c r="Z43" s="5">
        <f>[1]original!M43/10000</f>
        <v>0.13100000000000001</v>
      </c>
      <c r="AA43" s="5">
        <f>[1]original!N43/10000</f>
        <v>0.30525982742090102</v>
      </c>
      <c r="AB43" s="5">
        <f>[1]original!O43/10000</f>
        <v>0.100576443602273</v>
      </c>
      <c r="AC43" s="5">
        <f>[1]original!P43/10000</f>
        <v>0.30430090458764297</v>
      </c>
      <c r="AD43" s="5">
        <f>[1]original!R43/10000</f>
        <v>0.139490139490139</v>
      </c>
      <c r="AE43" s="5">
        <f>[1]original!U43/10000</f>
        <v>0.72221284755512893</v>
      </c>
      <c r="AF43" s="5">
        <f>[1]original!V43/10000</f>
        <v>0.31878044103547398</v>
      </c>
      <c r="AG43" s="5">
        <f>[1]original!W43/10000</f>
        <v>6.4882629107981205E-2</v>
      </c>
      <c r="AH43" s="5">
        <f>[1]original!X43/10000</f>
        <v>4.6512943432406501E-2</v>
      </c>
      <c r="AI43" s="5">
        <f>[1]original!Z43/10000</f>
        <v>19.465388302972201</v>
      </c>
      <c r="AJ43" s="5">
        <f>[1]original!AA43/10000</f>
        <v>2.9999999999999997E-4</v>
      </c>
    </row>
    <row r="44" spans="1:36" x14ac:dyDescent="0.3">
      <c r="A44" s="1">
        <v>13</v>
      </c>
      <c r="B44" s="3">
        <v>351.86464399995702</v>
      </c>
      <c r="C44" s="3">
        <v>-481.04671999625799</v>
      </c>
      <c r="D44" s="3">
        <v>212.69247156099999</v>
      </c>
      <c r="E44" s="4">
        <v>19.505714404994503</v>
      </c>
      <c r="F44" s="3">
        <f t="shared" si="0"/>
        <v>29.396513662333692</v>
      </c>
      <c r="G44" s="3">
        <f t="shared" si="1"/>
        <v>35.234477661978481</v>
      </c>
      <c r="H44" s="3">
        <v>2280.7971142515398</v>
      </c>
      <c r="I44" s="3">
        <v>85.4898150019052</v>
      </c>
      <c r="J44" s="4">
        <v>0.86228125496768304</v>
      </c>
      <c r="K44" s="1">
        <v>106</v>
      </c>
      <c r="L44" s="3">
        <f t="shared" si="2"/>
        <v>21.704626073729209</v>
      </c>
      <c r="M44" s="3">
        <f t="shared" si="3"/>
        <v>31.574575034973403</v>
      </c>
      <c r="N44" s="3">
        <f t="shared" si="4"/>
        <v>29.986346629162217</v>
      </c>
      <c r="O44" s="4">
        <f t="shared" si="7"/>
        <v>0.69241306895490873</v>
      </c>
      <c r="P44" s="4">
        <f t="shared" si="5"/>
        <v>0.94545233147906882</v>
      </c>
      <c r="Q44" s="3">
        <f t="shared" si="8"/>
        <v>3.924791188075905</v>
      </c>
      <c r="R44" s="3">
        <f t="shared" si="6"/>
        <v>22.978002093981555</v>
      </c>
      <c r="S44" s="3">
        <f t="shared" si="9"/>
        <v>26.902793282057459</v>
      </c>
      <c r="T44" s="5">
        <f>[1]original!L44/10000</f>
        <v>5.5876430649854498</v>
      </c>
      <c r="U44" s="5">
        <f>[1]original!Q44/10000</f>
        <v>0.37823722275795396</v>
      </c>
      <c r="V44" s="5">
        <f>[1]original!Y44/10000</f>
        <v>0.153</v>
      </c>
      <c r="W44" s="5">
        <f>[1]original!AB44/10000</f>
        <v>1.4836223506743699E-3</v>
      </c>
      <c r="X44" s="5">
        <f>[1]original!T44/10000</f>
        <v>1.44841417910447</v>
      </c>
      <c r="Y44" s="5">
        <f>[1]original!S44/10000</f>
        <v>25.526673132880703</v>
      </c>
      <c r="Z44" s="5">
        <f>[1]original!M44/10000</f>
        <v>4.36E-2</v>
      </c>
      <c r="AA44" s="5">
        <f>[1]original!N44/10000</f>
        <v>0.34397284190106703</v>
      </c>
      <c r="AB44" s="5">
        <f>[1]original!O44/10000</f>
        <v>2.07464221824686E-2</v>
      </c>
      <c r="AC44" s="5">
        <f>[1]original!P44/10000</f>
        <v>0.17958966902769</v>
      </c>
      <c r="AD44" s="5">
        <f>[1]original!R44/10000</f>
        <v>0.10662824207492799</v>
      </c>
      <c r="AE44" s="5">
        <f>[1]original!U44/10000</f>
        <v>0.84793016488845696</v>
      </c>
      <c r="AF44" s="5">
        <f>[1]original!V44/10000</f>
        <v>0.346349175557711</v>
      </c>
      <c r="AG44" s="5">
        <f>[1]original!W44/10000</f>
        <v>5.0746268656716401E-2</v>
      </c>
      <c r="AH44" s="5">
        <f>[1]original!X44/10000</f>
        <v>2.3E-2</v>
      </c>
      <c r="AI44" s="5">
        <f>[1]original!Z44/10000</f>
        <v>19.9815712900097</v>
      </c>
      <c r="AJ44" s="5">
        <f>[1]original!AA44/10000</f>
        <v>2.9999999999999997E-4</v>
      </c>
    </row>
    <row r="45" spans="1:36" x14ac:dyDescent="0.3">
      <c r="A45" s="1">
        <v>48</v>
      </c>
      <c r="B45" s="3">
        <v>420.30842799995997</v>
      </c>
      <c r="C45" s="3">
        <v>-308.08525999635401</v>
      </c>
      <c r="D45" s="3">
        <v>164.75623827199999</v>
      </c>
      <c r="E45" s="4">
        <v>26.012503062813114</v>
      </c>
      <c r="F45" s="3">
        <f t="shared" si="0"/>
        <v>22.043245842793176</v>
      </c>
      <c r="G45" s="3">
        <f t="shared" si="1"/>
        <v>27.986694755377776</v>
      </c>
      <c r="H45" s="3">
        <v>2368.5716214743802</v>
      </c>
      <c r="I45" s="3">
        <v>79.953052424682696</v>
      </c>
      <c r="J45" s="4">
        <v>0.98887708332878799</v>
      </c>
      <c r="K45" s="1">
        <v>106</v>
      </c>
      <c r="L45" s="3">
        <f t="shared" si="2"/>
        <v>18.532816077204696</v>
      </c>
      <c r="M45" s="3">
        <f t="shared" si="3"/>
        <v>26.501178870284875</v>
      </c>
      <c r="N45" s="3">
        <f t="shared" si="4"/>
        <v>24.766931183126509</v>
      </c>
      <c r="O45" s="4">
        <f t="shared" si="7"/>
        <v>0.69241306895490873</v>
      </c>
      <c r="P45" s="4">
        <f t="shared" si="5"/>
        <v>1.0101696175652337</v>
      </c>
      <c r="Q45" s="3">
        <f t="shared" si="8"/>
        <v>3.1444952115873641</v>
      </c>
      <c r="R45" s="3">
        <f t="shared" si="6"/>
        <v>18.674103216689844</v>
      </c>
      <c r="S45" s="3">
        <f t="shared" si="9"/>
        <v>21.818598428277209</v>
      </c>
      <c r="T45" s="5">
        <f>[1]original!L45/10000</f>
        <v>2.9908341323106402</v>
      </c>
      <c r="U45" s="5">
        <f>[1]original!Q45/10000</f>
        <v>3.4103030303030297</v>
      </c>
      <c r="V45" s="5">
        <f>[1]original!Y45/10000</f>
        <v>1.1100000000000001</v>
      </c>
      <c r="W45" s="5">
        <f>[1]original!AB45/10000</f>
        <v>4.0784313725490198E-3</v>
      </c>
      <c r="X45" s="5">
        <f>[1]original!T45/10000</f>
        <v>1.0564751703992201</v>
      </c>
      <c r="Y45" s="5">
        <f>[1]original!S45/10000</f>
        <v>39.512943432406502</v>
      </c>
      <c r="Z45" s="5">
        <f>[1]original!M45/10000</f>
        <v>4.6899999999999997E-2</v>
      </c>
      <c r="AA45" s="5">
        <f>[1]original!N45/10000</f>
        <v>2.1925023969319102</v>
      </c>
      <c r="AB45" s="5">
        <f>[1]original!O45/10000</f>
        <v>3.34725822532402E-2</v>
      </c>
      <c r="AC45" s="5">
        <f>[1]original!P45/10000</f>
        <v>0.23998789844996499</v>
      </c>
      <c r="AD45" s="5">
        <f>[1]original!R45/10000</f>
        <v>1.79497289305076</v>
      </c>
      <c r="AE45" s="5">
        <f>[1]original!U45/10000</f>
        <v>0.83764717162032498</v>
      </c>
      <c r="AF45" s="5">
        <f>[1]original!V45/10000</f>
        <v>0.516067114093959</v>
      </c>
      <c r="AG45" s="5">
        <f>[1]original!W45/10000</f>
        <v>1.55E-2</v>
      </c>
      <c r="AH45" s="5">
        <f>[1]original!X45/10000</f>
        <v>0.10385810162991299</v>
      </c>
      <c r="AI45" s="5">
        <f>[1]original!Z45/10000</f>
        <v>10.351064237775599</v>
      </c>
      <c r="AJ45" s="5">
        <f>[1]original!AA45/10000</f>
        <v>2.9999999999999997E-4</v>
      </c>
    </row>
    <row r="46" spans="1:36" x14ac:dyDescent="0.3">
      <c r="A46" s="1">
        <v>2</v>
      </c>
      <c r="B46" s="3">
        <v>740.89465099992196</v>
      </c>
      <c r="C46" s="3">
        <v>-292.486449997872</v>
      </c>
      <c r="D46" s="3">
        <v>247.78313952799999</v>
      </c>
      <c r="E46" s="4">
        <v>21.519895448741895</v>
      </c>
      <c r="F46" s="3">
        <f t="shared" si="0"/>
        <v>26.645110863376537</v>
      </c>
      <c r="G46" s="3">
        <f t="shared" si="1"/>
        <v>32.570558145512472</v>
      </c>
      <c r="H46" s="3">
        <v>2468.3093681829901</v>
      </c>
      <c r="I46" s="3">
        <v>82.846670229838097</v>
      </c>
      <c r="J46" s="4">
        <v>1.0263934029017501</v>
      </c>
      <c r="K46" s="1">
        <v>106</v>
      </c>
      <c r="L46" s="3">
        <f t="shared" si="2"/>
        <v>18.286177161547776</v>
      </c>
      <c r="M46" s="3">
        <f t="shared" si="3"/>
        <v>25.765102856522169</v>
      </c>
      <c r="N46" s="3">
        <f t="shared" si="4"/>
        <v>24.285356704165519</v>
      </c>
      <c r="O46" s="4">
        <f t="shared" si="7"/>
        <v>0.69241306895490873</v>
      </c>
      <c r="P46" s="4">
        <f t="shared" si="5"/>
        <v>0.96706495459253106</v>
      </c>
      <c r="Q46" s="3">
        <f t="shared" si="8"/>
        <v>3.6387671719084884</v>
      </c>
      <c r="R46" s="3">
        <f t="shared" si="6"/>
        <v>19.710918302130302</v>
      </c>
      <c r="S46" s="3">
        <f t="shared" si="9"/>
        <v>23.34968547403879</v>
      </c>
      <c r="T46" s="5">
        <f>[1]original!L46/10000</f>
        <v>6.3503800442233205</v>
      </c>
      <c r="U46" s="5">
        <f>[1]original!Q46/10000</f>
        <v>0.32907243526712499</v>
      </c>
      <c r="V46" s="5">
        <f>[1]original!Y46/10000</f>
        <v>0.15</v>
      </c>
      <c r="W46" s="5">
        <f>[1]original!AB46/10000</f>
        <v>3.0900794028280599E-3</v>
      </c>
      <c r="X46" s="5">
        <f>[1]original!T46/10000</f>
        <v>2.3872123627989001</v>
      </c>
      <c r="Y46" s="5">
        <f>[1]original!S46/10000</f>
        <v>3.4711788280818103</v>
      </c>
      <c r="Z46" s="5">
        <f>[1]original!M46/10000</f>
        <v>7.7499999999999999E-2</v>
      </c>
      <c r="AA46" s="5">
        <f>[1]original!N46/10000</f>
        <v>1.5297470978441101</v>
      </c>
      <c r="AB46" s="5">
        <f>[1]original!O46/10000</f>
        <v>3.7235649674651303E-2</v>
      </c>
      <c r="AC46" s="5">
        <f>[1]original!P46/10000</f>
        <v>5.4105583848599099E-2</v>
      </c>
      <c r="AD46" s="5">
        <f>[1]original!R46/10000</f>
        <v>8.9624939113492411E-2</v>
      </c>
      <c r="AE46" s="5">
        <f>[1]original!U46/10000</f>
        <v>0.93866777224986109</v>
      </c>
      <c r="AF46" s="5">
        <f>[1]original!V46/10000</f>
        <v>2.6499999999999999E-2</v>
      </c>
      <c r="AG46" s="5">
        <f>[1]original!W46/10000</f>
        <v>1.63739349505271</v>
      </c>
      <c r="AH46" s="5">
        <f>[1]original!X46/10000</f>
        <v>2.3E-2</v>
      </c>
      <c r="AI46" s="5">
        <f>[1]original!Z46/10000</f>
        <v>33.233354063018204</v>
      </c>
      <c r="AJ46" s="5">
        <f>[1]original!AA46/10000</f>
        <v>0</v>
      </c>
    </row>
    <row r="47" spans="1:36" x14ac:dyDescent="0.3">
      <c r="A47" s="1">
        <v>2</v>
      </c>
      <c r="B47" s="3">
        <v>729.07931299996505</v>
      </c>
      <c r="C47" s="3">
        <v>-323.26645999774303</v>
      </c>
      <c r="D47" s="3">
        <v>161.89374029000001</v>
      </c>
      <c r="E47" s="4">
        <v>19.889188748901663</v>
      </c>
      <c r="F47" s="3">
        <f t="shared" si="0"/>
        <v>28.829732938788904</v>
      </c>
      <c r="G47" s="3">
        <f t="shared" si="1"/>
        <v>34.689949782730402</v>
      </c>
      <c r="H47" s="3">
        <v>2416.4582143049802</v>
      </c>
      <c r="I47" s="3">
        <v>83.296369633454006</v>
      </c>
      <c r="J47" s="4">
        <v>0.88616112771684497</v>
      </c>
      <c r="K47" s="1">
        <v>106</v>
      </c>
      <c r="L47" s="3">
        <f t="shared" si="2"/>
        <v>20.745492065147921</v>
      </c>
      <c r="M47" s="3">
        <f t="shared" si="3"/>
        <v>30.031544645035623</v>
      </c>
      <c r="N47" s="3">
        <f t="shared" si="4"/>
        <v>28.34356801770247</v>
      </c>
      <c r="O47" s="4">
        <f t="shared" si="7"/>
        <v>0.69241306895490873</v>
      </c>
      <c r="P47" s="4">
        <f t="shared" si="5"/>
        <v>0.94969540125785634</v>
      </c>
      <c r="Q47" s="3">
        <f t="shared" si="8"/>
        <v>3.8663934425223094</v>
      </c>
      <c r="R47" s="3">
        <f t="shared" si="6"/>
        <v>22.097474187998181</v>
      </c>
      <c r="S47" s="3">
        <f t="shared" si="9"/>
        <v>25.96386763052049</v>
      </c>
      <c r="T47" s="5">
        <f>[1]original!L47/10000</f>
        <v>7.507055503292559</v>
      </c>
      <c r="U47" s="5">
        <f>[1]original!Q47/10000</f>
        <v>0.362622950819672</v>
      </c>
      <c r="V47" s="5">
        <f>[1]original!Y47/10000</f>
        <v>0.11</v>
      </c>
      <c r="W47" s="5">
        <f>[1]original!AB47/10000</f>
        <v>4.5409674234945597E-4</v>
      </c>
      <c r="X47" s="5">
        <f>[1]original!T47/10000</f>
        <v>1.4528229665071699</v>
      </c>
      <c r="Y47" s="5">
        <f>[1]original!S47/10000</f>
        <v>16.265286923800499</v>
      </c>
      <c r="Z47" s="5">
        <f>[1]original!M47/10000</f>
        <v>1.4999999999999999E-2</v>
      </c>
      <c r="AA47" s="5">
        <f>[1]original!N47/10000</f>
        <v>1.19661335841955</v>
      </c>
      <c r="AB47" s="5">
        <f>[1]original!O47/10000</f>
        <v>4.9001157338122298E-2</v>
      </c>
      <c r="AC47" s="5">
        <f>[1]original!P47/10000</f>
        <v>0.132726544655175</v>
      </c>
      <c r="AD47" s="5">
        <f>[1]original!R47/10000</f>
        <v>0.126631222812953</v>
      </c>
      <c r="AE47" s="5">
        <f>[1]original!U47/10000</f>
        <v>3.42615239887111</v>
      </c>
      <c r="AF47" s="5">
        <f>[1]original!V47/10000</f>
        <v>0.208842897460018</v>
      </c>
      <c r="AG47" s="5">
        <f>[1]original!W47/10000</f>
        <v>0.22229665071770299</v>
      </c>
      <c r="AH47" s="5">
        <f>[1]original!X47/10000</f>
        <v>2.3E-2</v>
      </c>
      <c r="AI47" s="5">
        <f>[1]original!Z47/10000</f>
        <v>23.341486359360299</v>
      </c>
      <c r="AJ47" s="5">
        <f>[1]original!AA47/10000</f>
        <v>0</v>
      </c>
    </row>
    <row r="48" spans="1:36" x14ac:dyDescent="0.3">
      <c r="A48" s="1">
        <v>5</v>
      </c>
      <c r="B48" s="3">
        <v>196.94651999988099</v>
      </c>
      <c r="C48" s="3">
        <v>-529.73024999722804</v>
      </c>
      <c r="D48" s="3">
        <v>340.20224466899998</v>
      </c>
      <c r="E48" s="4">
        <v>19.071895434246422</v>
      </c>
      <c r="F48" s="3">
        <f t="shared" si="0"/>
        <v>30.065181616420521</v>
      </c>
      <c r="G48" s="3">
        <f t="shared" si="1"/>
        <v>35.874201319251902</v>
      </c>
      <c r="H48" s="3">
        <v>2549.3337912250299</v>
      </c>
      <c r="I48" s="3">
        <v>81.659292394490095</v>
      </c>
      <c r="J48" s="4">
        <v>0.81274459695864698</v>
      </c>
      <c r="K48" s="1">
        <v>106</v>
      </c>
      <c r="L48" s="3">
        <f t="shared" si="2"/>
        <v>21.87052283331899</v>
      </c>
      <c r="M48" s="3">
        <f t="shared" si="3"/>
        <v>32.138612510715518</v>
      </c>
      <c r="N48" s="3">
        <f t="shared" si="4"/>
        <v>30.188050146498753</v>
      </c>
      <c r="O48" s="4">
        <f t="shared" si="7"/>
        <v>0.69241306895490873</v>
      </c>
      <c r="P48" s="4">
        <f t="shared" si="5"/>
        <v>0.94057405777575309</v>
      </c>
      <c r="Q48" s="3">
        <f t="shared" si="8"/>
        <v>3.9933549939381114</v>
      </c>
      <c r="R48" s="3">
        <f t="shared" si="6"/>
        <v>23.242503159761924</v>
      </c>
      <c r="S48" s="3">
        <f t="shared" si="9"/>
        <v>27.235858153700036</v>
      </c>
      <c r="T48" s="5">
        <f>[1]original!L48/10000</f>
        <v>6.6056603773584897</v>
      </c>
      <c r="U48" s="5">
        <f>[1]original!Q48/10000</f>
        <v>0.50872359963268998</v>
      </c>
      <c r="V48" s="5">
        <f>[1]original!Y48/10000</f>
        <v>0.215</v>
      </c>
      <c r="W48" s="5">
        <f>[1]original!AB48/10000</f>
        <v>1.24879923150816E-3</v>
      </c>
      <c r="X48" s="5">
        <f>[1]original!T48/10000</f>
        <v>0.41107927411652301</v>
      </c>
      <c r="Y48" s="5">
        <f>[1]original!S48/10000</f>
        <v>28.466037735849003</v>
      </c>
      <c r="Z48" s="5">
        <f>[1]original!M48/10000</f>
        <v>0.13100000000000001</v>
      </c>
      <c r="AA48" s="5">
        <f>[1]original!N48/10000</f>
        <v>9.4339622641509399E-2</v>
      </c>
      <c r="AB48" s="5">
        <f>[1]original!O48/10000</f>
        <v>0.14505210720334602</v>
      </c>
      <c r="AC48" s="5">
        <f>[1]original!P48/10000</f>
        <v>9.9190178277665103E-2</v>
      </c>
      <c r="AD48" s="5">
        <f>[1]original!R48/10000</f>
        <v>9.7323600973235995E-3</v>
      </c>
      <c r="AE48" s="5">
        <f>[1]original!U48/10000</f>
        <v>1.1169811320754599</v>
      </c>
      <c r="AF48" s="5">
        <f>[1]original!V48/10000</f>
        <v>0.28301886792452802</v>
      </c>
      <c r="AG48" s="5">
        <f>[1]original!W48/10000</f>
        <v>1.55E-2</v>
      </c>
      <c r="AH48" s="5">
        <f>[1]original!X48/10000</f>
        <v>2.3E-2</v>
      </c>
      <c r="AI48" s="5">
        <f>[1]original!Z48/10000</f>
        <v>17.7264150943396</v>
      </c>
      <c r="AJ48" s="5">
        <f>[1]original!AA48/10000</f>
        <v>0</v>
      </c>
    </row>
    <row r="49" spans="1:36" x14ac:dyDescent="0.3">
      <c r="A49" s="1">
        <v>5</v>
      </c>
      <c r="B49" s="3">
        <v>213.99207099992699</v>
      </c>
      <c r="C49" s="3">
        <v>-485.32506999745902</v>
      </c>
      <c r="D49" s="3">
        <v>216.29278256200001</v>
      </c>
      <c r="E49" s="4">
        <v>24.082053194351076</v>
      </c>
      <c r="F49" s="3">
        <f t="shared" si="0"/>
        <v>23.810262163796828</v>
      </c>
      <c r="G49" s="3">
        <f t="shared" si="1"/>
        <v>29.767510635222123</v>
      </c>
      <c r="H49" s="3">
        <v>2514.1046544757901</v>
      </c>
      <c r="I49" s="3">
        <v>81.808447708316905</v>
      </c>
      <c r="J49" s="4">
        <v>1.2769789914268901</v>
      </c>
      <c r="K49" s="1">
        <v>106</v>
      </c>
      <c r="L49" s="3">
        <f t="shared" si="2"/>
        <v>15.13895047381274</v>
      </c>
      <c r="M49" s="3">
        <f t="shared" si="3"/>
        <v>20.522125718602503</v>
      </c>
      <c r="N49" s="3">
        <f t="shared" si="4"/>
        <v>19.285037718666917</v>
      </c>
      <c r="O49" s="4">
        <f t="shared" si="7"/>
        <v>0.69241306895490873</v>
      </c>
      <c r="P49" s="4">
        <f t="shared" si="5"/>
        <v>0.99241179361801168</v>
      </c>
      <c r="Q49" s="3">
        <f t="shared" si="8"/>
        <v>3.3368538469963802</v>
      </c>
      <c r="R49" s="3">
        <f t="shared" si="6"/>
        <v>16.718010080512531</v>
      </c>
      <c r="S49" s="3">
        <f t="shared" si="9"/>
        <v>20.054863927508912</v>
      </c>
      <c r="T49" s="5">
        <f>[1]original!L49/10000</f>
        <v>3.7273593898951303</v>
      </c>
      <c r="U49" s="5">
        <f>[1]original!Q49/10000</f>
        <v>3.1608654750705401</v>
      </c>
      <c r="V49" s="5">
        <f>[1]original!Y49/10000</f>
        <v>1.67</v>
      </c>
      <c r="W49" s="5">
        <f>[1]original!AB49/10000</f>
        <v>9.9528746465598495E-3</v>
      </c>
      <c r="X49" s="5">
        <f>[1]original!T49/10000</f>
        <v>0.40268972142171</v>
      </c>
      <c r="Y49" s="5">
        <f>[1]original!S49/10000</f>
        <v>35.611058150619598</v>
      </c>
      <c r="Z49" s="5">
        <f>[1]original!M49/10000</f>
        <v>3.4099999999999998E-2</v>
      </c>
      <c r="AA49" s="5">
        <f>[1]original!N49/10000</f>
        <v>0.60247855100095304</v>
      </c>
      <c r="AB49" s="5">
        <f>[1]original!O49/10000</f>
        <v>4.5771383084577101E-2</v>
      </c>
      <c r="AC49" s="5">
        <f>[1]original!P49/10000</f>
        <v>1.6500000000000001E-2</v>
      </c>
      <c r="AD49" s="5">
        <f>[1]original!R49/10000</f>
        <v>5.3717026378896797E-2</v>
      </c>
      <c r="AE49" s="5">
        <f>[1]original!U49/10000</f>
        <v>0.77407054337464198</v>
      </c>
      <c r="AF49" s="5">
        <f>[1]original!V49/10000</f>
        <v>0.11630123927550001</v>
      </c>
      <c r="AG49" s="5">
        <f>[1]original!W49/10000</f>
        <v>1.2952929875120001</v>
      </c>
      <c r="AH49" s="5">
        <f>[1]original!X49/10000</f>
        <v>0.16777883698760598</v>
      </c>
      <c r="AI49" s="5">
        <f>[1]original!Z49/10000</f>
        <v>14.0305052430886</v>
      </c>
      <c r="AJ49" s="5">
        <f>[1]original!AA49/10000</f>
        <v>0</v>
      </c>
    </row>
    <row r="50" spans="1:36" x14ac:dyDescent="0.3">
      <c r="A50" s="1">
        <v>6</v>
      </c>
      <c r="B50" s="3">
        <v>512.97193099988999</v>
      </c>
      <c r="C50" s="3">
        <v>-480.41387999802799</v>
      </c>
      <c r="D50" s="3">
        <v>168.621102812</v>
      </c>
      <c r="E50" s="4">
        <v>18.369841276890085</v>
      </c>
      <c r="F50" s="3">
        <f t="shared" si="0"/>
        <v>31.21420546629097</v>
      </c>
      <c r="G50" s="3">
        <f t="shared" si="1"/>
        <v>36.966897514451588</v>
      </c>
      <c r="H50" s="3">
        <v>2452.1841661393</v>
      </c>
      <c r="I50" s="3">
        <v>86.4841544806185</v>
      </c>
      <c r="J50" s="4">
        <v>0.80435017630521199</v>
      </c>
      <c r="K50" s="1">
        <v>106</v>
      </c>
      <c r="L50" s="3">
        <f t="shared" si="2"/>
        <v>22.946428190419759</v>
      </c>
      <c r="M50" s="3">
        <f t="shared" si="3"/>
        <v>33.579408075953118</v>
      </c>
      <c r="N50" s="3">
        <f t="shared" si="4"/>
        <v>31.978964667224734</v>
      </c>
      <c r="O50" s="4">
        <f t="shared" si="7"/>
        <v>0.69241306895490873</v>
      </c>
      <c r="P50" s="4">
        <f t="shared" si="5"/>
        <v>0.93249530091931665</v>
      </c>
      <c r="Q50" s="3">
        <f t="shared" si="8"/>
        <v>4.110361583609861</v>
      </c>
      <c r="R50" s="3">
        <f t="shared" si="6"/>
        <v>24.338673230586132</v>
      </c>
      <c r="S50" s="3">
        <f t="shared" si="9"/>
        <v>28.449034814195993</v>
      </c>
      <c r="T50" s="5">
        <f>[1]original!L50/10000</f>
        <v>6.6725317693059596</v>
      </c>
      <c r="U50" s="5">
        <f>[1]original!Q50/10000</f>
        <v>0.31237721021610898</v>
      </c>
      <c r="V50" s="5">
        <f>[1]original!Y50/10000</f>
        <v>0.109</v>
      </c>
      <c r="W50" s="5">
        <f>[1]original!AB50/10000</f>
        <v>1.07243650047036E-3</v>
      </c>
      <c r="X50" s="5">
        <f>[1]original!T50/10000</f>
        <v>1.4589473684210499</v>
      </c>
      <c r="Y50" s="5">
        <f>[1]original!S50/10000</f>
        <v>22.572825024437901</v>
      </c>
      <c r="Z50" s="5">
        <f>[1]original!M50/10000</f>
        <v>1.4999999999999999E-2</v>
      </c>
      <c r="AA50" s="5">
        <f>[1]original!N50/10000</f>
        <v>0.68035190615835595</v>
      </c>
      <c r="AB50" s="5">
        <f>[1]original!O50/10000</f>
        <v>5.1589221140472798E-2</v>
      </c>
      <c r="AC50" s="5">
        <f>[1]original!P50/10000</f>
        <v>0.166596686372632</v>
      </c>
      <c r="AD50" s="5">
        <f>[1]original!R50/10000</f>
        <v>0.14210777300906</v>
      </c>
      <c r="AE50" s="5">
        <f>[1]original!U50/10000</f>
        <v>1.78494623655914</v>
      </c>
      <c r="AF50" s="5">
        <f>[1]original!V50/10000</f>
        <v>0.35777126099706702</v>
      </c>
      <c r="AG50" s="5">
        <f>[1]original!W50/10000</f>
        <v>0.14057416267942499</v>
      </c>
      <c r="AH50" s="5">
        <f>[1]original!X50/10000</f>
        <v>9.7751710654936402E-2</v>
      </c>
      <c r="AI50" s="5">
        <f>[1]original!Z50/10000</f>
        <v>20.2991202346041</v>
      </c>
      <c r="AJ50" s="5">
        <f>[1]original!AA50/10000</f>
        <v>0</v>
      </c>
    </row>
    <row r="51" spans="1:36" x14ac:dyDescent="0.3">
      <c r="A51" s="1">
        <v>6</v>
      </c>
      <c r="B51" s="3">
        <v>524.61599199985994</v>
      </c>
      <c r="C51" s="3">
        <v>-450.080069996416</v>
      </c>
      <c r="D51" s="3">
        <v>79.350303837200002</v>
      </c>
      <c r="E51" s="4">
        <v>20.521168270216346</v>
      </c>
      <c r="F51" s="3">
        <f t="shared" si="0"/>
        <v>27.94187896369483</v>
      </c>
      <c r="G51" s="3">
        <f t="shared" si="1"/>
        <v>33.832622372025838</v>
      </c>
      <c r="H51" s="3">
        <v>2262.5958234221598</v>
      </c>
      <c r="I51" s="3">
        <v>84.947160475306504</v>
      </c>
      <c r="J51" s="4">
        <v>0.74828984028597001</v>
      </c>
      <c r="K51" s="1">
        <v>106</v>
      </c>
      <c r="L51" s="3">
        <f t="shared" si="2"/>
        <v>24.308053608319668</v>
      </c>
      <c r="M51" s="3">
        <f t="shared" si="3"/>
        <v>36.329987247000844</v>
      </c>
      <c r="N51" s="3">
        <f t="shared" si="4"/>
        <v>34.449868276132989</v>
      </c>
      <c r="O51" s="4">
        <f t="shared" si="7"/>
        <v>0.69241306895490873</v>
      </c>
      <c r="P51" s="4">
        <f t="shared" si="5"/>
        <v>0.95655266902325131</v>
      </c>
      <c r="Q51" s="3">
        <f t="shared" si="8"/>
        <v>3.7743796856349965</v>
      </c>
      <c r="R51" s="3">
        <f t="shared" si="6"/>
        <v>24.583853043070075</v>
      </c>
      <c r="S51" s="3">
        <f t="shared" si="9"/>
        <v>28.358232728705072</v>
      </c>
      <c r="T51" s="5">
        <f>[1]original!L51/10000</f>
        <v>5.6679764243614903</v>
      </c>
      <c r="U51" s="5">
        <f>[1]original!Q51/10000</f>
        <v>0.484270734032411</v>
      </c>
      <c r="V51" s="5">
        <f>[1]original!Y51/10000</f>
        <v>0.151</v>
      </c>
      <c r="W51" s="5">
        <f>[1]original!AB51/10000</f>
        <v>8.5795996186844605E-4</v>
      </c>
      <c r="X51" s="5">
        <f>[1]original!T51/10000</f>
        <v>2.55838926174496</v>
      </c>
      <c r="Y51" s="5">
        <f>[1]original!S51/10000</f>
        <v>26.984282907661999</v>
      </c>
      <c r="Z51" s="5">
        <f>[1]original!M51/10000</f>
        <v>3.32E-2</v>
      </c>
      <c r="AA51" s="5">
        <f>[1]original!N51/10000</f>
        <v>0.51669941060903701</v>
      </c>
      <c r="AB51" s="5">
        <f>[1]original!O51/10000</f>
        <v>6.2132716417910398E-2</v>
      </c>
      <c r="AC51" s="5">
        <f>[1]original!P51/10000</f>
        <v>0.383750888379639</v>
      </c>
      <c r="AD51" s="5">
        <f>[1]original!R51/10000</f>
        <v>0.269230769230769</v>
      </c>
      <c r="AE51" s="5">
        <f>[1]original!U51/10000</f>
        <v>0.52652259332023499</v>
      </c>
      <c r="AF51" s="5">
        <f>[1]original!V51/10000</f>
        <v>0.41650294695481299</v>
      </c>
      <c r="AG51" s="5">
        <f>[1]original!W51/10000</f>
        <v>0.125119846596356</v>
      </c>
      <c r="AH51" s="5">
        <f>[1]original!X51/10000</f>
        <v>2.3E-2</v>
      </c>
      <c r="AI51" s="5">
        <f>[1]original!Z51/10000</f>
        <v>19.3222003929273</v>
      </c>
      <c r="AJ51" s="5">
        <f>[1]original!AA51/10000</f>
        <v>0</v>
      </c>
    </row>
    <row r="52" spans="1:36" x14ac:dyDescent="0.3">
      <c r="A52" s="1">
        <v>132</v>
      </c>
      <c r="B52" s="3">
        <v>468.83971399988502</v>
      </c>
      <c r="C52" s="3">
        <v>-309.35703999735398</v>
      </c>
      <c r="D52" s="3">
        <v>210.485828398</v>
      </c>
      <c r="E52" s="4">
        <v>24.13176411284357</v>
      </c>
      <c r="F52" s="3">
        <f t="shared" si="0"/>
        <v>23.761213532450419</v>
      </c>
      <c r="G52" s="3">
        <f t="shared" si="1"/>
        <v>29.718444172647004</v>
      </c>
      <c r="H52" s="3">
        <v>2228.1605074109102</v>
      </c>
      <c r="I52" s="3">
        <v>85.282932747484793</v>
      </c>
      <c r="J52" s="4">
        <v>0.96551124383595699</v>
      </c>
      <c r="K52" s="1">
        <v>106</v>
      </c>
      <c r="L52" s="3">
        <f t="shared" si="2"/>
        <v>19.808671765736129</v>
      </c>
      <c r="M52" s="3">
        <f t="shared" si="3"/>
        <v>28.290523999528514</v>
      </c>
      <c r="N52" s="3">
        <f t="shared" si="4"/>
        <v>26.851867426015371</v>
      </c>
      <c r="O52" s="4">
        <f t="shared" si="7"/>
        <v>0.69241306895490873</v>
      </c>
      <c r="P52" s="4">
        <f t="shared" si="5"/>
        <v>0.99288259005277868</v>
      </c>
      <c r="Q52" s="3">
        <f t="shared" si="8"/>
        <v>3.3315597293931511</v>
      </c>
      <c r="R52" s="3">
        <f t="shared" si="6"/>
        <v>20.075720092040129</v>
      </c>
      <c r="S52" s="3">
        <f t="shared" si="9"/>
        <v>23.407279821433281</v>
      </c>
      <c r="T52" s="5">
        <f>[1]original!L52/10000</f>
        <v>4.5616438356164295</v>
      </c>
      <c r="U52" s="5">
        <f>[1]original!Q52/10000</f>
        <v>1.60038424591738</v>
      </c>
      <c r="V52" s="5">
        <f>[1]original!Y52/10000</f>
        <v>0.439</v>
      </c>
      <c r="W52" s="5">
        <f>[1]original!AB52/10000</f>
        <v>2.1152030217186E-3</v>
      </c>
      <c r="X52" s="5">
        <f>[1]original!T52/10000</f>
        <v>1.5292899408284</v>
      </c>
      <c r="Y52" s="5">
        <f>[1]original!S52/10000</f>
        <v>32.0763209393346</v>
      </c>
      <c r="Z52" s="5">
        <f>[1]original!M52/10000</f>
        <v>0.109</v>
      </c>
      <c r="AA52" s="5">
        <f>[1]original!N52/10000</f>
        <v>1.56947162426614</v>
      </c>
      <c r="AB52" s="5">
        <f>[1]original!O52/10000</f>
        <v>0.12496647766835699</v>
      </c>
      <c r="AC52" s="5">
        <f>[1]original!P52/10000</f>
        <v>0.30891681221922801</v>
      </c>
      <c r="AD52" s="5">
        <f>[1]original!R52/10000</f>
        <v>0.812890812890812</v>
      </c>
      <c r="AE52" s="5">
        <f>[1]original!U52/10000</f>
        <v>1.1389432485322901</v>
      </c>
      <c r="AF52" s="5">
        <f>[1]original!V52/10000</f>
        <v>0.931506849315068</v>
      </c>
      <c r="AG52" s="5">
        <f>[1]original!W52/10000</f>
        <v>3.8856015779092701E-2</v>
      </c>
      <c r="AH52" s="5">
        <f>[1]original!X52/10000</f>
        <v>8.0234833659491203E-2</v>
      </c>
      <c r="AI52" s="5">
        <f>[1]original!Z52/10000</f>
        <v>15.1996086105675</v>
      </c>
      <c r="AJ52" s="5">
        <f>[1]original!AA52/10000</f>
        <v>0</v>
      </c>
    </row>
    <row r="53" spans="1:36" x14ac:dyDescent="0.3">
      <c r="A53" s="1">
        <v>132</v>
      </c>
      <c r="B53" s="3">
        <v>467.06246299995098</v>
      </c>
      <c r="C53" s="3">
        <v>-313.98693999647998</v>
      </c>
      <c r="D53" s="3">
        <v>196.86028539599999</v>
      </c>
      <c r="E53" s="4">
        <v>28.91507621399624</v>
      </c>
      <c r="F53" s="3">
        <f t="shared" si="0"/>
        <v>19.830485514074066</v>
      </c>
      <c r="G53" s="3">
        <f t="shared" si="1"/>
        <v>25.715670562163229</v>
      </c>
      <c r="H53" s="3">
        <v>2481.6691710149498</v>
      </c>
      <c r="I53" s="3">
        <v>89.335483587603406</v>
      </c>
      <c r="J53" s="4">
        <v>1.2666585800001799</v>
      </c>
      <c r="K53" s="1">
        <v>106</v>
      </c>
      <c r="L53" s="3">
        <f t="shared" si="2"/>
        <v>16.109351900496822</v>
      </c>
      <c r="M53" s="3">
        <f t="shared" si="3"/>
        <v>21.601354374982439</v>
      </c>
      <c r="N53" s="3">
        <f t="shared" si="4"/>
        <v>20.732579159220677</v>
      </c>
      <c r="O53" s="4">
        <f t="shared" si="7"/>
        <v>0.69241306895490873</v>
      </c>
      <c r="P53" s="4">
        <f t="shared" si="5"/>
        <v>1.0350492323377842</v>
      </c>
      <c r="Q53" s="3">
        <f t="shared" si="8"/>
        <v>2.8985142913819328</v>
      </c>
      <c r="R53" s="3">
        <f t="shared" si="6"/>
        <v>16.256782305967722</v>
      </c>
      <c r="S53" s="3">
        <f t="shared" si="9"/>
        <v>19.155296597349654</v>
      </c>
      <c r="T53" s="5">
        <f>[1]original!L53/10000</f>
        <v>2.2952101661779003</v>
      </c>
      <c r="U53" s="5">
        <f>[1]original!Q53/10000</f>
        <v>4.5210237659963299</v>
      </c>
      <c r="V53" s="5">
        <f>[1]original!Y53/10000</f>
        <v>1.4</v>
      </c>
      <c r="W53" s="5">
        <f>[1]original!AB53/10000</f>
        <v>3.3464566929133702E-3</v>
      </c>
      <c r="X53" s="5">
        <f>[1]original!T53/10000</f>
        <v>0.62292682926829201</v>
      </c>
      <c r="Y53" s="5">
        <f>[1]original!S53/10000</f>
        <v>42.586510263929597</v>
      </c>
      <c r="Z53" s="5">
        <f>[1]original!M53/10000</f>
        <v>1.4999999999999999E-2</v>
      </c>
      <c r="AA53" s="5">
        <f>[1]original!N53/10000</f>
        <v>1.9550342130987199</v>
      </c>
      <c r="AB53" s="5">
        <f>[1]original!O53/10000</f>
        <v>3.6519581256231302E-2</v>
      </c>
      <c r="AC53" s="5">
        <f>[1]original!P53/10000</f>
        <v>0.14404756381268399</v>
      </c>
      <c r="AD53" s="5">
        <f>[1]original!R53/10000</f>
        <v>1.0771456123432899</v>
      </c>
      <c r="AE53" s="5">
        <f>[1]original!U53/10000</f>
        <v>1.3020527859237501</v>
      </c>
      <c r="AF53" s="5">
        <f>[1]original!V53/10000</f>
        <v>0.65102639296187603</v>
      </c>
      <c r="AG53" s="5">
        <f>[1]original!W53/10000</f>
        <v>6.2829268292682899E-2</v>
      </c>
      <c r="AH53" s="5">
        <f>[1]original!X53/10000</f>
        <v>8.6021505376343996E-2</v>
      </c>
      <c r="AI53" s="5">
        <f>[1]original!Z53/10000</f>
        <v>9.5053763440860202</v>
      </c>
      <c r="AJ53" s="5">
        <f>[1]original!AA53/10000</f>
        <v>0</v>
      </c>
    </row>
    <row r="54" spans="1:36" x14ac:dyDescent="0.3">
      <c r="A54" s="1">
        <v>132</v>
      </c>
      <c r="B54" s="3">
        <v>463.45586899993901</v>
      </c>
      <c r="C54" s="3">
        <v>-323.38243999704702</v>
      </c>
      <c r="D54" s="3">
        <v>169.20983003000001</v>
      </c>
      <c r="E54" s="4">
        <v>20.046435837803937</v>
      </c>
      <c r="F54" s="3">
        <f t="shared" si="0"/>
        <v>28.603588420375043</v>
      </c>
      <c r="G54" s="3">
        <f t="shared" si="1"/>
        <v>34.472088172154052</v>
      </c>
      <c r="H54" s="3">
        <v>2516.6353014927799</v>
      </c>
      <c r="I54" s="3">
        <v>79.551262735181993</v>
      </c>
      <c r="J54" s="4">
        <v>0.82300975308368296</v>
      </c>
      <c r="K54" s="1">
        <v>106</v>
      </c>
      <c r="L54" s="3">
        <f t="shared" si="2"/>
        <v>21.334660784644321</v>
      </c>
      <c r="M54" s="3">
        <f t="shared" si="3"/>
        <v>31.430709104096437</v>
      </c>
      <c r="N54" s="3">
        <f t="shared" si="4"/>
        <v>29.338375999175963</v>
      </c>
      <c r="O54" s="4">
        <f t="shared" si="7"/>
        <v>0.69241306895490873</v>
      </c>
      <c r="P54" s="4">
        <f t="shared" si="5"/>
        <v>0.95141711091293923</v>
      </c>
      <c r="Q54" s="3">
        <f t="shared" si="8"/>
        <v>3.8430193331904463</v>
      </c>
      <c r="R54" s="3">
        <f t="shared" si="6"/>
        <v>22.481197293233102</v>
      </c>
      <c r="S54" s="3">
        <f t="shared" si="9"/>
        <v>26.324216626423549</v>
      </c>
      <c r="T54" s="5">
        <f>[1]original!L54/10000</f>
        <v>7.0414312617702395</v>
      </c>
      <c r="U54" s="5">
        <f>[1]original!Q54/10000</f>
        <v>0.21546961325966799</v>
      </c>
      <c r="V54" s="5">
        <f>[1]original!Y54/10000</f>
        <v>5.7200000000000001E-2</v>
      </c>
      <c r="W54" s="5">
        <f>[1]original!AB54/10000</f>
        <v>1E-4</v>
      </c>
      <c r="X54" s="5">
        <f>[1]original!T54/10000</f>
        <v>2.08755803156917</v>
      </c>
      <c r="Y54" s="5">
        <f>[1]original!S54/10000</f>
        <v>14.4821092278719</v>
      </c>
      <c r="Z54" s="5">
        <f>[1]original!M54/10000</f>
        <v>1.4999999999999999E-2</v>
      </c>
      <c r="AA54" s="5">
        <f>[1]original!N54/10000</f>
        <v>3.6327683615819204</v>
      </c>
      <c r="AB54" s="5">
        <f>[1]original!O54/10000</f>
        <v>3.7096555843121597E-2</v>
      </c>
      <c r="AC54" s="5">
        <f>[1]original!P54/10000</f>
        <v>0.27510943740677801</v>
      </c>
      <c r="AD54" s="5">
        <f>[1]original!R54/10000</f>
        <v>9.3358999037536E-2</v>
      </c>
      <c r="AE54" s="5">
        <f>[1]original!U54/10000</f>
        <v>3.1431261770244801</v>
      </c>
      <c r="AF54" s="5">
        <f>[1]original!V54/10000</f>
        <v>0.16572504708097899</v>
      </c>
      <c r="AG54" s="5">
        <f>[1]original!W54/10000</f>
        <v>0.31578458681522703</v>
      </c>
      <c r="AH54" s="5">
        <f>[1]original!X54/10000</f>
        <v>4.70809792843691E-2</v>
      </c>
      <c r="AI54" s="5">
        <f>[1]original!Z54/10000</f>
        <v>21.4896421845574</v>
      </c>
      <c r="AJ54" s="5">
        <f>[1]original!AA54/10000</f>
        <v>0</v>
      </c>
    </row>
    <row r="55" spans="1:36" x14ac:dyDescent="0.3">
      <c r="A55" s="1">
        <v>13</v>
      </c>
      <c r="B55" s="3">
        <v>338.94586599990703</v>
      </c>
      <c r="C55" s="3">
        <v>-514.70128999650399</v>
      </c>
      <c r="D55" s="3">
        <v>311.73607379200001</v>
      </c>
      <c r="E55" s="4">
        <v>24.565583129025764</v>
      </c>
      <c r="F55" s="3">
        <f t="shared" si="0"/>
        <v>23.341599382694572</v>
      </c>
      <c r="G55" s="3">
        <f t="shared" si="1"/>
        <v>29.297844145531347</v>
      </c>
      <c r="H55" s="3">
        <v>2304.55567180446</v>
      </c>
      <c r="I55" s="3">
        <v>87.386889784795002</v>
      </c>
      <c r="J55" s="4">
        <v>0.88746937818765503</v>
      </c>
      <c r="K55" s="1">
        <v>106</v>
      </c>
      <c r="L55" s="3">
        <f t="shared" si="2"/>
        <v>21.462029101165161</v>
      </c>
      <c r="M55" s="3">
        <f t="shared" si="3"/>
        <v>30.937405249113603</v>
      </c>
      <c r="N55" s="3">
        <f t="shared" si="4"/>
        <v>29.536401731006894</v>
      </c>
      <c r="O55" s="4">
        <f t="shared" si="7"/>
        <v>0.69241306895490873</v>
      </c>
      <c r="P55" s="4">
        <f t="shared" si="5"/>
        <v>0.99695977744006292</v>
      </c>
      <c r="Q55" s="3">
        <f t="shared" si="8"/>
        <v>3.2861647975348842</v>
      </c>
      <c r="R55" s="3">
        <f t="shared" si="6"/>
        <v>21.156888493253579</v>
      </c>
      <c r="S55" s="3">
        <f t="shared" si="9"/>
        <v>24.443053290788463</v>
      </c>
      <c r="T55" s="5">
        <f>[1]original!L55/10000</f>
        <v>5.9870370370370303</v>
      </c>
      <c r="U55" s="5">
        <f>[1]original!Q55/10000</f>
        <v>0.34412580943570703</v>
      </c>
      <c r="V55" s="5">
        <f>[1]original!Y55/10000</f>
        <v>0.23200000000000001</v>
      </c>
      <c r="W55" s="5">
        <f>[1]original!AB55/10000</f>
        <v>1.0621359223300899E-2</v>
      </c>
      <c r="X55" s="5">
        <f>[1]original!T55/10000</f>
        <v>1.875</v>
      </c>
      <c r="Y55" s="5">
        <f>[1]original!S55/10000</f>
        <v>20.187037037036998</v>
      </c>
      <c r="Z55" s="5">
        <f>[1]original!M55/10000</f>
        <v>6.8099999999999897E-2</v>
      </c>
      <c r="AA55" s="5">
        <f>[1]original!N55/10000</f>
        <v>1.07037037037036</v>
      </c>
      <c r="AB55" s="5">
        <f>[1]original!O55/10000</f>
        <v>4.9750274588117802E-2</v>
      </c>
      <c r="AC55" s="5">
        <f>[1]original!P55/10000</f>
        <v>0.48175515026141902</v>
      </c>
      <c r="AD55" s="5">
        <f>[1]original!R55/10000</f>
        <v>0.147754707870593</v>
      </c>
      <c r="AE55" s="5">
        <f>[1]original!U55/10000</f>
        <v>0.73888888888888793</v>
      </c>
      <c r="AF55" s="5">
        <f>[1]original!V55/10000</f>
        <v>0.25</v>
      </c>
      <c r="AG55" s="5">
        <f>[1]original!W55/10000</f>
        <v>1.5333661417322801</v>
      </c>
      <c r="AH55" s="5">
        <f>[1]original!X55/10000</f>
        <v>0.05</v>
      </c>
      <c r="AI55" s="5">
        <f>[1]original!Z55/10000</f>
        <v>21.8407407407406</v>
      </c>
      <c r="AJ55" s="5">
        <f>[1]original!AA55/10000</f>
        <v>0</v>
      </c>
    </row>
    <row r="56" spans="1:36" x14ac:dyDescent="0.3">
      <c r="A56" s="1">
        <v>19</v>
      </c>
      <c r="B56" s="3">
        <v>943.57527099992103</v>
      </c>
      <c r="C56" s="3">
        <v>-520.90171999670497</v>
      </c>
      <c r="D56" s="3">
        <v>274.14611820300001</v>
      </c>
      <c r="E56" s="4">
        <v>21.754597165821604</v>
      </c>
      <c r="F56" s="3">
        <f t="shared" si="0"/>
        <v>26.357647334461429</v>
      </c>
      <c r="G56" s="3">
        <f t="shared" si="1"/>
        <v>32.289140884757089</v>
      </c>
      <c r="H56" s="3">
        <v>2585.1723937552201</v>
      </c>
      <c r="I56" s="3">
        <v>79.776289960475296</v>
      </c>
      <c r="J56" s="4">
        <v>0.90987130090153301</v>
      </c>
      <c r="K56" s="1">
        <v>106</v>
      </c>
      <c r="L56" s="3">
        <f t="shared" si="2"/>
        <v>19.626678637632224</v>
      </c>
      <c r="M56" s="3">
        <f t="shared" si="3"/>
        <v>28.33480073641968</v>
      </c>
      <c r="N56" s="3">
        <f t="shared" si="4"/>
        <v>26.466497732871062</v>
      </c>
      <c r="O56" s="4">
        <f t="shared" si="7"/>
        <v>0.69241306895490873</v>
      </c>
      <c r="P56" s="4">
        <f t="shared" si="5"/>
        <v>0.96948065950456519</v>
      </c>
      <c r="Q56" s="3">
        <f t="shared" si="8"/>
        <v>3.6085014456541158</v>
      </c>
      <c r="R56" s="3">
        <f t="shared" si="6"/>
        <v>20.605815426822339</v>
      </c>
      <c r="S56" s="3">
        <f t="shared" si="9"/>
        <v>24.214316872476456</v>
      </c>
      <c r="T56" s="5">
        <f>[1]original!L56/10000</f>
        <v>5.9255014326647499</v>
      </c>
      <c r="U56" s="5">
        <f>[1]original!Q56/10000</f>
        <v>0.54917491749174896</v>
      </c>
      <c r="V56" s="5">
        <f>[1]original!Y56/10000</f>
        <v>0.246</v>
      </c>
      <c r="W56" s="5">
        <f>[1]original!AB56/10000</f>
        <v>1.7931034482758601E-3</v>
      </c>
      <c r="X56" s="5">
        <f>[1]original!T56/10000</f>
        <v>1.0868035190615799</v>
      </c>
      <c r="Y56" s="5">
        <f>[1]original!S56/10000</f>
        <v>9.0487106017191898</v>
      </c>
      <c r="Z56" s="5">
        <f>[1]original!M56/10000</f>
        <v>5.6000000000000001E-2</v>
      </c>
      <c r="AA56" s="5">
        <f>[1]original!N56/10000</f>
        <v>1.8548233046800298</v>
      </c>
      <c r="AB56" s="5">
        <f>[1]original!O56/10000</f>
        <v>1.4999999999999999E-2</v>
      </c>
      <c r="AC56" s="5">
        <f>[1]original!P56/10000</f>
        <v>5.1615697828464702E-2</v>
      </c>
      <c r="AD56" s="5">
        <f>[1]original!R56/10000</f>
        <v>0.174205967276227</v>
      </c>
      <c r="AE56" s="5">
        <f>[1]original!U56/10000</f>
        <v>4.0630372492836599</v>
      </c>
      <c r="AF56" s="5">
        <f>[1]original!V56/10000</f>
        <v>7.0678127984718203E-2</v>
      </c>
      <c r="AG56" s="5">
        <f>[1]original!W56/10000</f>
        <v>0.199902248289345</v>
      </c>
      <c r="AH56" s="5">
        <f>[1]original!X56/10000</f>
        <v>5.7306590257879597E-2</v>
      </c>
      <c r="AI56" s="5">
        <f>[1]original!Z56/10000</f>
        <v>26.553963705826103</v>
      </c>
      <c r="AJ56" s="5">
        <f>[1]original!AA56/10000</f>
        <v>0</v>
      </c>
    </row>
    <row r="57" spans="1:36" x14ac:dyDescent="0.3">
      <c r="A57" s="1">
        <v>29</v>
      </c>
      <c r="B57" s="3">
        <v>894.12231399992004</v>
      </c>
      <c r="C57" s="3">
        <v>-605.61126999743203</v>
      </c>
      <c r="D57" s="3">
        <v>326.227356821</v>
      </c>
      <c r="E57" s="4">
        <v>19.103434740157276</v>
      </c>
      <c r="F57" s="3">
        <f t="shared" si="0"/>
        <v>30.01554473314987</v>
      </c>
      <c r="G57" s="3">
        <f t="shared" si="1"/>
        <v>35.826811544678094</v>
      </c>
      <c r="H57" s="3">
        <v>2386.4152660750301</v>
      </c>
      <c r="I57" s="3">
        <v>78.013327640608097</v>
      </c>
      <c r="J57" s="4">
        <v>0.937560500577028</v>
      </c>
      <c r="K57" s="1">
        <v>106</v>
      </c>
      <c r="L57" s="3">
        <f t="shared" si="2"/>
        <v>19.056082431161045</v>
      </c>
      <c r="M57" s="3">
        <f t="shared" si="3"/>
        <v>27.599972404723182</v>
      </c>
      <c r="N57" s="3">
        <f t="shared" si="4"/>
        <v>25.642227732836719</v>
      </c>
      <c r="O57" s="4">
        <f t="shared" si="7"/>
        <v>0.69241306895490873</v>
      </c>
      <c r="P57" s="4">
        <f t="shared" si="5"/>
        <v>0.94093157978565234</v>
      </c>
      <c r="Q57" s="3">
        <f t="shared" si="8"/>
        <v>3.9882774718568799</v>
      </c>
      <c r="R57" s="3">
        <f t="shared" si="6"/>
        <v>21.20435284358474</v>
      </c>
      <c r="S57" s="3">
        <f t="shared" si="9"/>
        <v>25.192630315441619</v>
      </c>
      <c r="T57" s="5">
        <f>[1]original!L57/10000</f>
        <v>6.0688336520076405</v>
      </c>
      <c r="U57" s="5">
        <f>[1]original!Q57/10000</f>
        <v>0.179301252471984</v>
      </c>
      <c r="V57" s="5">
        <f>[1]original!Y57/10000</f>
        <v>5.5800000000000002E-2</v>
      </c>
      <c r="W57" s="5">
        <f>[1]original!AB57/10000</f>
        <v>1E-4</v>
      </c>
      <c r="X57" s="5">
        <f>[1]original!T57/10000</f>
        <v>0.418105065666041</v>
      </c>
      <c r="Y57" s="5">
        <f>[1]original!S57/10000</f>
        <v>21.2982791586997</v>
      </c>
      <c r="Z57" s="5">
        <f>[1]original!M57/10000</f>
        <v>1.4999999999999999E-2</v>
      </c>
      <c r="AA57" s="5">
        <f>[1]original!N57/10000</f>
        <v>1.2657743785850699</v>
      </c>
      <c r="AB57" s="5">
        <f>[1]original!O57/10000</f>
        <v>1.4999999999999999E-2</v>
      </c>
      <c r="AC57" s="5">
        <f>[1]original!P57/10000</f>
        <v>0.113629967942386</v>
      </c>
      <c r="AD57" s="5">
        <f>[1]original!R57/10000</f>
        <v>8.7880251086431604E-2</v>
      </c>
      <c r="AE57" s="5">
        <f>[1]original!U57/10000</f>
        <v>4.2351816443594599</v>
      </c>
      <c r="AF57" s="5">
        <f>[1]original!V57/10000</f>
        <v>0.52007648183556399</v>
      </c>
      <c r="AG57" s="5">
        <f>[1]original!W57/10000</f>
        <v>1.55E-2</v>
      </c>
      <c r="AH57" s="5">
        <f>[1]original!X57/10000</f>
        <v>2.3E-2</v>
      </c>
      <c r="AI57" s="5">
        <f>[1]original!Z57/10000</f>
        <v>20.567877629063101</v>
      </c>
      <c r="AJ57" s="5">
        <f>[1]original!AA57/10000</f>
        <v>0</v>
      </c>
    </row>
    <row r="58" spans="1:36" x14ac:dyDescent="0.3">
      <c r="A58" s="1">
        <v>133</v>
      </c>
      <c r="B58" s="3">
        <v>493.53129599988398</v>
      </c>
      <c r="C58" s="3">
        <v>-257.63238999806299</v>
      </c>
      <c r="D58" s="3">
        <v>181.86230474499999</v>
      </c>
      <c r="E58" s="4">
        <v>22.290426661522467</v>
      </c>
      <c r="F58" s="3">
        <f t="shared" si="0"/>
        <v>25.724047758574216</v>
      </c>
      <c r="G58" s="3">
        <f t="shared" si="1"/>
        <v>31.666686416760907</v>
      </c>
      <c r="H58" s="3">
        <v>2575.8407945129302</v>
      </c>
      <c r="I58" s="3">
        <v>82.957786858580704</v>
      </c>
      <c r="J58" s="4">
        <v>0.74941300978834802</v>
      </c>
      <c r="K58" s="1">
        <v>106</v>
      </c>
      <c r="L58" s="3">
        <f t="shared" si="2"/>
        <v>23.574009449503311</v>
      </c>
      <c r="M58" s="3">
        <f t="shared" si="3"/>
        <v>35.044003949626791</v>
      </c>
      <c r="N58" s="3">
        <f t="shared" si="4"/>
        <v>33.04197746994619</v>
      </c>
      <c r="O58" s="4">
        <f t="shared" si="7"/>
        <v>0.69241306895490873</v>
      </c>
      <c r="P58" s="4">
        <f t="shared" si="5"/>
        <v>0.97492147483186975</v>
      </c>
      <c r="Q58" s="3">
        <f t="shared" si="8"/>
        <v>3.5415227438072208</v>
      </c>
      <c r="R58" s="3">
        <f t="shared" si="6"/>
        <v>23.365337458966891</v>
      </c>
      <c r="S58" s="3">
        <f t="shared" si="9"/>
        <v>26.906860202774112</v>
      </c>
      <c r="T58" s="5">
        <f>[1]original!L58/10000</f>
        <v>5.30659025787965</v>
      </c>
      <c r="U58" s="5">
        <f>[1]original!Q58/10000</f>
        <v>0.43773584905660301</v>
      </c>
      <c r="V58" s="5">
        <f>[1]original!Y58/10000</f>
        <v>0.113</v>
      </c>
      <c r="W58" s="5">
        <f>[1]original!AB58/10000</f>
        <v>8.7954110898661494E-4</v>
      </c>
      <c r="X58" s="5">
        <f>[1]original!T58/10000</f>
        <v>2.5383040935672501</v>
      </c>
      <c r="Y58" s="5">
        <f>[1]original!S58/10000</f>
        <v>26.059216809933101</v>
      </c>
      <c r="Z58" s="5">
        <f>[1]original!M58/10000</f>
        <v>3.1E-2</v>
      </c>
      <c r="AA58" s="5">
        <f>[1]original!N58/10000</f>
        <v>0.86341929321871991</v>
      </c>
      <c r="AB58" s="5">
        <f>[1]original!O58/10000</f>
        <v>5.7634374690072397E-2</v>
      </c>
      <c r="AC58" s="5">
        <f>[1]original!P58/10000</f>
        <v>0.48347886311950999</v>
      </c>
      <c r="AD58" s="5">
        <f>[1]original!R58/10000</f>
        <v>0.55698617072007606</v>
      </c>
      <c r="AE58" s="5">
        <f>[1]original!U58/10000</f>
        <v>1.69054441260745</v>
      </c>
      <c r="AF58" s="5">
        <f>[1]original!V58/10000</f>
        <v>0.57115568290353302</v>
      </c>
      <c r="AG58" s="5">
        <f>[1]original!W58/10000</f>
        <v>7.0565302144249498E-2</v>
      </c>
      <c r="AH58" s="5">
        <f>[1]original!X58/10000</f>
        <v>5.5396370582616997E-2</v>
      </c>
      <c r="AI58" s="5">
        <f>[1]original!Z58/10000</f>
        <v>18.0916905444126</v>
      </c>
      <c r="AJ58" s="5">
        <f>[1]original!AA58/10000</f>
        <v>0</v>
      </c>
    </row>
    <row r="59" spans="1:36" x14ac:dyDescent="0.3">
      <c r="A59" s="1">
        <v>48</v>
      </c>
      <c r="B59" s="3">
        <v>422.05231399997098</v>
      </c>
      <c r="C59" s="3">
        <v>-302.71812999807298</v>
      </c>
      <c r="D59" s="3">
        <v>180.26116651500001</v>
      </c>
      <c r="E59" s="4">
        <v>22.235526546621276</v>
      </c>
      <c r="F59" s="3">
        <f t="shared" si="0"/>
        <v>25.787561126459092</v>
      </c>
      <c r="G59" s="3">
        <f t="shared" si="1"/>
        <v>31.729219710983322</v>
      </c>
      <c r="H59" s="3">
        <v>2352.5211549423202</v>
      </c>
      <c r="I59" s="3">
        <v>81.775277385626794</v>
      </c>
      <c r="J59" s="4">
        <v>0.89926405689676903</v>
      </c>
      <c r="K59" s="1">
        <v>106</v>
      </c>
      <c r="L59" s="3">
        <f t="shared" si="2"/>
        <v>20.328756021611067</v>
      </c>
      <c r="M59" s="3">
        <f t="shared" si="3"/>
        <v>29.484304345920741</v>
      </c>
      <c r="N59" s="3">
        <f t="shared" si="4"/>
        <v>27.70427337641074</v>
      </c>
      <c r="O59" s="4">
        <f t="shared" si="7"/>
        <v>0.69241306895490873</v>
      </c>
      <c r="P59" s="4">
        <f t="shared" si="5"/>
        <v>0.97436867925243942</v>
      </c>
      <c r="Q59" s="3">
        <f t="shared" si="8"/>
        <v>3.5482538026941395</v>
      </c>
      <c r="R59" s="3">
        <f t="shared" si="6"/>
        <v>21.004403462724817</v>
      </c>
      <c r="S59" s="3">
        <f t="shared" si="9"/>
        <v>24.552657265418958</v>
      </c>
      <c r="T59" s="5">
        <f>[1]original!L59/10000</f>
        <v>6.7533460803059207</v>
      </c>
      <c r="U59" s="5">
        <f>[1]original!Q59/10000</f>
        <v>0.30698529411764697</v>
      </c>
      <c r="V59" s="5">
        <f>[1]original!Y59/10000</f>
        <v>8.48E-2</v>
      </c>
      <c r="W59" s="5">
        <f>[1]original!AB59/10000</f>
        <v>4.4358727097396306E-4</v>
      </c>
      <c r="X59" s="5">
        <f>[1]original!T59/10000</f>
        <v>1.7296511627906901</v>
      </c>
      <c r="Y59" s="5">
        <f>[1]original!S59/10000</f>
        <v>18.0898661567877</v>
      </c>
      <c r="Z59" s="5">
        <f>[1]original!M59/10000</f>
        <v>3.9600000000000003E-2</v>
      </c>
      <c r="AA59" s="5">
        <f>[1]original!N59/10000</f>
        <v>2.0458891013384299</v>
      </c>
      <c r="AB59" s="5">
        <f>[1]original!O59/10000</f>
        <v>4.3296687287966401E-2</v>
      </c>
      <c r="AC59" s="5">
        <f>[1]original!P59/10000</f>
        <v>0.26510403833249602</v>
      </c>
      <c r="AD59" s="5">
        <f>[1]original!R59/10000</f>
        <v>0.22002960039467098</v>
      </c>
      <c r="AE59" s="5">
        <f>[1]original!U59/10000</f>
        <v>1.8718929254302099</v>
      </c>
      <c r="AF59" s="5">
        <f>[1]original!V59/10000</f>
        <v>0.56022944550669196</v>
      </c>
      <c r="AG59" s="5">
        <f>[1]original!W59/10000</f>
        <v>0.26870155038759497</v>
      </c>
      <c r="AH59" s="5">
        <f>[1]original!X59/10000</f>
        <v>5.3537284894837396E-2</v>
      </c>
      <c r="AI59" s="5">
        <f>[1]original!Z59/10000</f>
        <v>22.2791586998088</v>
      </c>
      <c r="AJ59" s="5">
        <f>[1]original!AA59/10000</f>
        <v>0</v>
      </c>
    </row>
    <row r="60" spans="1:36" x14ac:dyDescent="0.3">
      <c r="A60" s="1">
        <v>48</v>
      </c>
      <c r="B60" s="3">
        <v>407.48558499990003</v>
      </c>
      <c r="C60" s="3">
        <v>-347.54990999773099</v>
      </c>
      <c r="D60" s="3">
        <v>50.748031054899997</v>
      </c>
      <c r="E60" s="4">
        <v>21.14629026453111</v>
      </c>
      <c r="F60" s="3">
        <f t="shared" si="0"/>
        <v>27.115867266882727</v>
      </c>
      <c r="G60" s="3">
        <f t="shared" si="1"/>
        <v>33.030106587170103</v>
      </c>
      <c r="H60" s="3">
        <v>2325.5985955947199</v>
      </c>
      <c r="I60" s="3">
        <v>83.215275133857503</v>
      </c>
      <c r="J60" s="4">
        <v>0.85661427171189197</v>
      </c>
      <c r="K60" s="1">
        <v>106</v>
      </c>
      <c r="L60" s="3">
        <f t="shared" si="2"/>
        <v>21.412100440268084</v>
      </c>
      <c r="M60" s="3">
        <f t="shared" si="3"/>
        <v>31.270744301981082</v>
      </c>
      <c r="N60" s="3">
        <f t="shared" si="4"/>
        <v>29.506217780291138</v>
      </c>
      <c r="O60" s="4">
        <f t="shared" si="7"/>
        <v>0.69241306895490873</v>
      </c>
      <c r="P60" s="4">
        <f t="shared" si="5"/>
        <v>0.96317737530961889</v>
      </c>
      <c r="Q60" s="3">
        <f t="shared" si="8"/>
        <v>3.6881694245167012</v>
      </c>
      <c r="R60" s="3">
        <f t="shared" si="6"/>
        <v>22.162322025182846</v>
      </c>
      <c r="S60" s="3">
        <f t="shared" si="9"/>
        <v>25.850491449699547</v>
      </c>
      <c r="T60" s="5">
        <f>[1]original!L60/10000</f>
        <v>5.5460852329038604</v>
      </c>
      <c r="U60" s="5">
        <f>[1]original!Q60/10000</f>
        <v>0.41698113207547105</v>
      </c>
      <c r="V60" s="5">
        <f>[1]original!Y60/10000</f>
        <v>0.123</v>
      </c>
      <c r="W60" s="5">
        <f>[1]original!AB60/10000</f>
        <v>7.5581395348837206E-4</v>
      </c>
      <c r="X60" s="5">
        <f>[1]original!T60/10000</f>
        <v>2.3927563499529598</v>
      </c>
      <c r="Y60" s="5">
        <f>[1]original!S60/10000</f>
        <v>21.086223984142702</v>
      </c>
      <c r="Z60" s="5">
        <f>[1]original!M60/10000</f>
        <v>1.4999999999999999E-2</v>
      </c>
      <c r="AA60" s="5">
        <f>[1]original!N60/10000</f>
        <v>0.67393458870168399</v>
      </c>
      <c r="AB60" s="5">
        <f>[1]original!O60/10000</f>
        <v>3.3687642566696402E-2</v>
      </c>
      <c r="AC60" s="5">
        <f>[1]original!P60/10000</f>
        <v>0.31307878051744004</v>
      </c>
      <c r="AD60" s="5">
        <f>[1]original!R60/10000</f>
        <v>0.28331688055281301</v>
      </c>
      <c r="AE60" s="5">
        <f>[1]original!U60/10000</f>
        <v>1.0644202180376601</v>
      </c>
      <c r="AF60" s="5">
        <f>[1]original!V60/10000</f>
        <v>0.517343904856293</v>
      </c>
      <c r="AG60" s="5">
        <f>[1]original!W60/10000</f>
        <v>1.55E-2</v>
      </c>
      <c r="AH60" s="5">
        <f>[1]original!X60/10000</f>
        <v>0.13676907829534099</v>
      </c>
      <c r="AI60" s="5">
        <f>[1]original!Z60/10000</f>
        <v>21.684836471754199</v>
      </c>
      <c r="AJ60" s="5">
        <f>[1]original!AA60/10000</f>
        <v>0</v>
      </c>
    </row>
    <row r="61" spans="1:36" x14ac:dyDescent="0.3">
      <c r="A61" s="1">
        <v>48</v>
      </c>
      <c r="B61" s="3">
        <v>405.318938999902</v>
      </c>
      <c r="C61" s="3">
        <v>-354.21815999783502</v>
      </c>
      <c r="D61" s="3">
        <v>31.484332328800001</v>
      </c>
      <c r="E61" s="4">
        <v>22.785388441603356</v>
      </c>
      <c r="F61" s="3">
        <f t="shared" si="0"/>
        <v>25.165250154482386</v>
      </c>
      <c r="G61" s="3">
        <f t="shared" si="1"/>
        <v>31.115169929456624</v>
      </c>
      <c r="H61" s="3">
        <v>2278.8024161854901</v>
      </c>
      <c r="I61" s="3">
        <v>78.872801212034304</v>
      </c>
      <c r="J61" s="4">
        <v>0.87017384246907203</v>
      </c>
      <c r="K61" s="1">
        <v>106</v>
      </c>
      <c r="L61" s="3">
        <f t="shared" si="2"/>
        <v>20.500302393021904</v>
      </c>
      <c r="M61" s="3">
        <f t="shared" si="3"/>
        <v>30.135335565993767</v>
      </c>
      <c r="N61" s="3">
        <f t="shared" si="4"/>
        <v>28.071470788670599</v>
      </c>
      <c r="O61" s="4">
        <f t="shared" si="7"/>
        <v>0.69241306895490873</v>
      </c>
      <c r="P61" s="4">
        <f t="shared" si="5"/>
        <v>0.97985855681039435</v>
      </c>
      <c r="Q61" s="3">
        <f t="shared" si="8"/>
        <v>3.4821360275905073</v>
      </c>
      <c r="R61" s="3">
        <f t="shared" si="6"/>
        <v>21.000362722258579</v>
      </c>
      <c r="S61" s="3">
        <f t="shared" si="9"/>
        <v>24.482498749849086</v>
      </c>
      <c r="T61" s="5">
        <f>[1]original!L61/10000</f>
        <v>4.8804664723032003</v>
      </c>
      <c r="U61" s="5">
        <f>[1]original!Q61/10000</f>
        <v>0.54752851711026596</v>
      </c>
      <c r="V61" s="5">
        <f>[1]original!Y61/10000</f>
        <v>0.17699999999999999</v>
      </c>
      <c r="W61" s="5">
        <f>[1]original!AB61/10000</f>
        <v>7.5117370892018704E-4</v>
      </c>
      <c r="X61" s="5">
        <f>[1]original!T61/10000</f>
        <v>1.57478260869565</v>
      </c>
      <c r="Y61" s="5">
        <f>[1]original!S61/10000</f>
        <v>23.842565597667601</v>
      </c>
      <c r="Z61" s="5">
        <f>[1]original!M61/10000</f>
        <v>1.4999999999999999E-2</v>
      </c>
      <c r="AA61" s="5">
        <f>[1]original!N61/10000</f>
        <v>0.61224489795918302</v>
      </c>
      <c r="AB61" s="5">
        <f>[1]original!O61/10000</f>
        <v>3.83199522578078E-2</v>
      </c>
      <c r="AC61" s="5">
        <f>[1]original!P61/10000</f>
        <v>0.22013398849631999</v>
      </c>
      <c r="AD61" s="5">
        <f>[1]original!R61/10000</f>
        <v>0.193734939759036</v>
      </c>
      <c r="AE61" s="5">
        <f>[1]original!U61/10000</f>
        <v>0.93683187560738501</v>
      </c>
      <c r="AF61" s="5">
        <f>[1]original!V61/10000</f>
        <v>0.53449951409134999</v>
      </c>
      <c r="AG61" s="5">
        <f>[1]original!W61/10000</f>
        <v>1.55E-2</v>
      </c>
      <c r="AH61" s="5">
        <f>[1]original!X61/10000</f>
        <v>7.38581146744412E-2</v>
      </c>
      <c r="AI61" s="5">
        <f>[1]original!Z61/10000</f>
        <v>20.507288629737602</v>
      </c>
      <c r="AJ61" s="5">
        <f>[1]original!AA61/10000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mazzinghy</dc:creator>
  <cp:lastModifiedBy>douglas mazzinghy</cp:lastModifiedBy>
  <dcterms:created xsi:type="dcterms:W3CDTF">2026-01-21T12:41:47Z</dcterms:created>
  <dcterms:modified xsi:type="dcterms:W3CDTF">2026-01-21T12:51:29Z</dcterms:modified>
</cp:coreProperties>
</file>